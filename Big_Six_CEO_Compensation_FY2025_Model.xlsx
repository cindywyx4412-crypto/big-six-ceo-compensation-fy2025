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90813e143a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README" sheetId="1" r:id="Rfdf83f7e74924e04"/>
    <x:sheet xmlns:r="http://schemas.openxmlformats.org/officeDocument/2006/relationships" name="2_Raw_Data" sheetId="2" r:id="R147633e1e6c5414a"/>
    <x:sheet xmlns:r="http://schemas.openxmlformats.org/officeDocument/2006/relationships" name="3_Calc" sheetId="3" r:id="R78a5087b319240da"/>
    <x:sheet xmlns:r="http://schemas.openxmlformats.org/officeDocument/2006/relationships" name="4_Peer_Summary" sheetId="4" r:id="Rbedfcd9ff8584021"/>
    <x:sheet xmlns:r="http://schemas.openxmlformats.org/officeDocument/2006/relationships" name="5_Charts" sheetId="5" r:id="R7e20d8456f464655"/>
    <x:sheet xmlns:r="http://schemas.openxmlformats.org/officeDocument/2006/relationships" name="6_QA_Log" sheetId="6" r:id="R762b2732bc0b46c8"/>
    <x:sheet xmlns:r="http://schemas.openxmlformats.org/officeDocument/2006/relationships" name="7_Issues" sheetId="7" r:id="Rf57e46876ad949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0.00%;[Red](0.00%);-"/>
    <x:numFmt numFmtId="202" formatCode="#,##0.0;[Red](#,##0.0);-"/>
    <x:numFmt numFmtId="203" formatCode="0.0%"/>
    <x:numFmt numFmtId="204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43A"/>
      </x:patternFill>
    </x:fill>
    <x:fill>
      <x:patternFill patternType="solid">
        <x:fgColor rgb="FFFFF1A8"/>
      </x:patternFill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2" fontId="2" fillId="0" borderId="0" xfId="0" applyNumberFormat="1" applyFont="1" applyFill="1" applyBorder="1"/>
    <x:xf numFmtId="202" fontId="2" fillId="0" borderId="1" xfId="0" applyNumberFormat="1" applyFont="1" applyFill="1" applyBorder="1"/>
    <x:xf numFmtId="202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3" fontId="2" fillId="0" borderId="0" xfId="0" applyNumberFormat="1" applyFont="1" applyFill="1" applyBorder="1"/>
    <x:xf numFmtId="203" fontId="0" fillId="0" borderId="0" xfId="0" applyNumberFormat="1" applyFont="1" applyFill="1" applyBorder="1"/>
    <x:xf numFmtId="203" fontId="2" fillId="3" borderId="0" xfId="0" applyNumberFormat="1" applyFont="1" applyFill="1" applyBorder="1"/>
    <x:xf numFmtId="203" fontId="3" fillId="0" borderId="0" xfId="0" applyNumberFormat="1" applyFont="1" applyFill="1" applyBorder="1"/>
    <x:xf numFmtId="204" fontId="2" fillId="0" borderId="0" xfId="0" applyNumberFormat="1" applyFont="1" applyFill="1" applyBorder="1"/>
    <x:xf numFmtId="204" fontId="0" fillId="0" borderId="0" xfId="0" applyNumberFormat="1" applyFont="1" applyFill="1" applyBorder="1"/>
    <x:xf numFmtId="204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d57e71fec74ee8" /><Relationship Type="http://schemas.openxmlformats.org/officeDocument/2006/relationships/theme" Target="/xl/theme/theme1.xml" Id="R3ad03eef23ef4120" /><Relationship Type="http://schemas.openxmlformats.org/officeDocument/2006/relationships/sharedStrings" Target="/xl/sharedStrings.xml" Id="R1e0f8292fc7c4f1f" /><Relationship Type="http://schemas.openxmlformats.org/officeDocument/2006/relationships/worksheet" Target="/xl/worksheets/sheet1.xml" Id="Rfdf83f7e74924e04" /><Relationship Type="http://schemas.openxmlformats.org/officeDocument/2006/relationships/worksheet" Target="/xl/worksheets/sheet2.xml" Id="R147633e1e6c5414a" /><Relationship Type="http://schemas.openxmlformats.org/officeDocument/2006/relationships/worksheet" Target="/xl/worksheets/sheet3.xml" Id="R78a5087b319240da" /><Relationship Type="http://schemas.openxmlformats.org/officeDocument/2006/relationships/worksheet" Target="/xl/worksheets/sheet4.xml" Id="Rbedfcd9ff8584021" /><Relationship Type="http://schemas.openxmlformats.org/officeDocument/2006/relationships/worksheet" Target="/xl/worksheets/sheet5.xml" Id="R7e20d8456f464655" /><Relationship Type="http://schemas.openxmlformats.org/officeDocument/2006/relationships/worksheet" Target="/xl/worksheets/sheet6.xml" Id="R762b2732bc0b46c8" /><Relationship Type="http://schemas.openxmlformats.org/officeDocument/2006/relationships/worksheet" Target="/xl/worksheets/sheet7.xml" Id="Rf57e46876ad949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edecb8619c4e9e" /><Relationship Type="http://schemas.openxmlformats.org/officeDocument/2006/relationships/chart" Target="/xl/drawings/charts/chart2.xml" Id="Re7d5807d7d2f4222" /><Relationship Type="http://schemas.openxmlformats.org/officeDocument/2006/relationships/chart" Target="/xl/drawings/charts/chart3.xml" Id="R3ccbb714c9f34a4c" /><Relationship Type="http://schemas.openxmlformats.org/officeDocument/2006/relationships/chart" Target="/xl/drawings/charts/chart4.xml" Id="Ra37012dae8b844e8" /><Relationship Type="http://schemas.openxmlformats.org/officeDocument/2006/relationships/chart" Target="/xl/drawings/charts/chart5.xml" Id="Rff1a21316dbf4d48" /><Relationship Type="http://schemas.openxmlformats.org/officeDocument/2006/relationships/chart" Target="/xl/drawings/charts/chart6.xml" Id="R8ba0d9522b2f48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FY2025 CEO TDC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TDC $000</c:v>
          </c:tx>
          <c:cat>
            <c:strRef>
              <c:f>'5_Charts'!$A$2:$A$7</c:f>
              <c:strCache>
                <c:ptCount val="0"/>
              </c:strCache>
            </c:strRef>
          </c:cat>
          <c:val>
            <c:numRef>
              <c:f>'5_Charts'!$B$2:$B$7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CEO pay mix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Salary %</c:v>
          </c:tx>
          <c:cat>
            <c:strRef>
              <c:f>'5_Charts'!$F$2:$F$7</c:f>
              <c:strCache>
                <c:ptCount val="0"/>
              </c:strCache>
            </c:strRef>
          </c:cat>
          <c:val>
            <c:numRef>
              <c:f>'5_Charts'!$G$2:$G$7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STI %</c:v>
          </c:tx>
          <c:cat>
            <c:strRef>
              <c:f>'5_Charts'!$F$2:$F$7</c:f>
              <c:strCache>
                <c:ptCount val="0"/>
              </c:strCache>
            </c:strRef>
          </c:cat>
          <c:val>
            <c:numRef>
              <c:f>'5_Charts'!$H$2:$H$7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LTI %</c:v>
          </c:tx>
          <c:cat>
            <c:strRef>
              <c:f>'5_Charts'!$F$2:$F$7</c:f>
              <c:strCache>
                <c:ptCount val="0"/>
              </c:strCache>
            </c:strRef>
          </c:cat>
          <c:val>
            <c:numRef>
              <c:f>'5_Charts'!$I$2:$I$7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Final bank BPF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Final BPF %</c:v>
          </c:tx>
          <c:cat>
            <c:strRef>
              <c:f>'5_Charts'!$L$2:$L$7</c:f>
              <c:strCache>
                <c:ptCount val="0"/>
              </c:strCache>
            </c:strRef>
          </c:cat>
          <c:val>
            <c:numRef>
              <c:f>'5_Charts'!$M$2:$M$7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LTI vehicle mix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PSU %</c:v>
          </c:tx>
          <c:cat>
            <c:strRef>
              <c:f>'5_Charts'!$P$2:$P$7</c:f>
              <c:strCache>
                <c:ptCount val="0"/>
              </c:strCache>
            </c:strRef>
          </c:cat>
          <c:val>
            <c:numRef>
              <c:f>'5_Charts'!$Q$2:$Q$7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Options %</c:v>
          </c:tx>
          <c:cat>
            <c:strRef>
              <c:f>'5_Charts'!$P$2:$P$7</c:f>
              <c:strCache>
                <c:ptCount val="0"/>
              </c:strCache>
            </c:strRef>
          </c:cat>
          <c:val>
            <c:numRef>
              <c:f>'5_Charts'!$R$2:$R$7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RSU %</c:v>
          </c:tx>
          <c:cat>
            <c:strRef>
              <c:f>'5_Charts'!$P$2:$P$7</c:f>
              <c:strCache>
                <c:ptCount val="0"/>
              </c:strCache>
            </c:strRef>
          </c:cat>
          <c:val>
            <c:numRef>
              <c:f>'5_Charts'!$S$2:$S$7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TDC vs adjusted NI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TDC $000</c:v>
          </c:tx>
          <c:xVal>
            <c:numLit>
              <c:formatCode>General</c:formatCode>
              <c:ptCount val="0"/>
            </c:numLit>
          </c:xVal>
          <c:yVal>
            <c:numRef>
              <c:f>'5_Charts'!$W$2:$W$7</c:f>
              <c:numCache>
                <c:formatCode>General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Say-on-Pay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Say-on-Pay %</c:v>
          </c:tx>
          <c:cat>
            <c:strRef>
              <c:f>'5_Charts'!$Y$2:$Y$7</c:f>
              <c:strCache>
                <c:ptCount val="0"/>
              </c:strCache>
            </c:strRef>
          </c:cat>
          <c:val>
            <c:numRef>
              <c:f>'5_Charts'!$Z$2:$Z$7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edecb8619c4e9e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d5807d7d2f4222"/>
        </a:graphicData>
      </a:graphic>
    </xdr:graphicFrame>
    <xdr:clientData/>
  </xdr:twoCellAnchor>
  <xdr:twoCellAnchor>
    <xdr:from>
      <xdr:col>18</xdr:col>
      <xdr:colOff>0</xdr:colOff>
      <xdr:row>12</xdr:row>
      <xdr:rowOff>0</xdr:rowOff>
    </xdr:from>
    <xdr:to>
      <xdr:col>26</xdr:col>
      <xdr:colOff>0</xdr:colOff>
      <xdr:row>28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cbb714c9f34a4c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7012dae8b844e8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1a21316dbf4d48"/>
        </a:graphicData>
      </a:graphic>
    </xdr:graphicFrame>
    <xdr:clientData/>
  </xdr:twoCellAnchor>
  <xdr:twoCellAnchor>
    <xdr:from>
      <xdr:col>18</xdr:col>
      <xdr:colOff>0</xdr:colOff>
      <xdr:row>29</xdr:row>
      <xdr:rowOff>0</xdr:rowOff>
    </xdr:from>
    <xdr:to>
      <xdr:col>26</xdr:col>
      <xdr:colOff>0</xdr:colOff>
      <xdr:row>45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a0d9522b2f488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?xml version='1.0' encoding='UTF-8'?>
<Relationships xmlns="http://schemas.openxmlformats.org/package/2006/relationships"><Relationship Type="http://schemas.openxmlformats.org/officeDocument/2006/relationships/drawing" Target="/xl/drawings/drawing1.xml" Id="Rc7f82bf2bbe54145"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0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  <x:col min="40" max="40" width="25" hidden="0" customWidth="1"/>
  </x:cols>
  <x:sheetData>
    <x:row r="1" ht="34" customHeight="1">
      <x:c r="A1" s="4" t="str">
        <x:v>BIG SIX | FY2025 CEO COMPENSATION BENCHMARK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</x:row>
    <x:row r="2">
      <x:c r="A2" t="str">
        <x:v>Scope</x:v>
      </x:c>
      <x:c r="B2" t="str">
        <x:v>FY2025 CEO pay; FY2024 SCT comparison; six Canadian banks</x:v>
      </x:c>
    </x:row>
    <x:row r="3">
      <x:c r="A3" t="str">
        <x:v>Units</x:v>
      </x:c>
      <x:c r="B3" t="str">
        <x:v>Compensation CAD $000; earnings CAD $M; performance and votes %</x:v>
      </x:c>
    </x:row>
    <x:row r="4">
      <x:c r="A4" t="str">
        <x:v>Primary input</x:v>
      </x:c>
      <x:c r="B4" t="str">
        <x:v>2_Raw_Data contains accepted Stage 1 values and source URLs / printed and PDF page references</x:v>
      </x:c>
    </x:row>
    <x:row r="5">
      <x:c r="A5" t="str">
        <x:v>Calculation</x:v>
      </x:c>
      <x:c r="B5" t="str">
        <x:v>3_Calc: live TDC, reconciliation, pay-to-size, reported and special-adjusted YoY</x:v>
      </x:c>
    </x:row>
    <x:row r="6">
      <x:c r="A6" t="str">
        <x:v>Comparison</x:v>
      </x:c>
      <x:c r="B6" t="str">
        <x:v>4_Peer_Summary: live references and rankings</x:v>
      </x:c>
    </x:row>
    <x:row r="7">
      <x:c r="A7" t="str">
        <x:v>Visualization</x:v>
      </x:c>
      <x:c r="B7" t="str">
        <x:v>5_Charts: live chart source and charts</x:v>
      </x:c>
    </x:row>
    <x:row r="8">
      <x:c r="A8" t="str">
        <x:v>Audit</x:v>
      </x:c>
      <x:c r="B8" t="str">
        <x:v>6_QA_Log: outstanding issues and disclosure caveats</x:v>
      </x:c>
    </x:row>
    <x:row r="9">
      <x:c r="A9" t="str">
        <x:v>Important</x:v>
      </x:c>
      <x:c r="B9" t="str">
        <x:v>Actual TDC is salary + share-based + options + STI, excluding pension/other</x:v>
      </x:c>
    </x:row>
    <x:row r="10">
      <x:c r="A10" t="str">
        <x:v>Rounding</x:v>
      </x:c>
      <x:c r="B10" t="str">
        <x:v>SCT amounts rounded to CAD $000; reconciliation tolerates 2 ($000) rounding noise</x:v>
      </x:c>
    </x:row>
    <x:row r="11">
      <x:c r="A11" t="str">
        <x:v>TD BPF bridge</x:v>
      </x:c>
      <x:c r="B11" t="str">
        <x:v>Initial 115.4% + 7.1 percentage points Strategic Initiatives Committee adjustment = final 122.5%</x:v>
      </x:c>
    </x:row>
    <x:row r="12">
      <x:c r="A12" t="str">
        <x:v>TD rationale</x:v>
      </x:c>
      <x:c r="B12" t="str">
        <x:v>Schwab sale, strategic review/Investor Day, U.S. AML remediation, shareholder returns, expense considerations</x:v>
      </x:c>
    </x:row>
    <x:row r="13">
      <x:c r="A13" t="str">
        <x:v>TD source</x:v>
      </x:c>
      <x:c r="B13" t="str">
        <x:v>TD 2026 circular printed p.84 / PDF p.89 (bridge and rationale); p.99 / PDF p.104 (final 122.5%)</x:v>
      </x:c>
    </x:row>
    <x:row r="14">
      <x:c r="A14" t="str">
        <x:v>TD comparability</x:v>
      </x:c>
      <x:c r="B14" t="str">
        <x:v>CEO from Feb 1 2025 (9 months); actual TDC blended; annualized target TDC 12,000; YoY n.m.</x:v>
      </x:c>
    </x:row>
    <x:row r="15">
      <x:c r="A15" t="str">
        <x:v>RY factor</x:v>
      </x:c>
      <x:c r="B15" t="str">
        <x:v>Not applicable – discretionary/non-formulaic; CD&amp;A printed p.79/PDF p.82</x:v>
      </x:c>
    </x:row>
    <x:row r="16">
      <x:c r="A16" t="str">
        <x:v>RY special award</x:v>
      </x:c>
      <x:c r="B16" t="str">
        <x:v>FY2024 HSBC Canada integration award CAD 4,000 ($000), excluded from adjusted YoY TDC</x:v>
      </x:c>
    </x:row>
    <x:row r="17">
      <x:c r="A17" t="str">
        <x:v>BMO target</x:v>
      </x:c>
      <x:c r="B17" t="str">
        <x:v>FY2025 blended target 13,375; annualized 15,000 effective May 1 2025; prior annual 11,750 inferred</x:v>
      </x:c>
    </x:row>
    <x:row r="18">
      <x:c r="A18" t="str">
        <x:v>BNS weighting</x:v>
      </x:c>
      <x:c r="B18" t="str">
        <x:v>BPF 103% and IPF 140% separate; proposed 80/20 formula not disclosed</x:v>
      </x:c>
    </x:row>
    <x:row r="19">
      <x:c r="A19" t="str">
        <x:v>PSU payout range basis</x:v>
      </x:c>
      <x:c r="B19" t="str">
        <x:v>Formulaic ranges only. CIBC 75%–125%; Board may reduce payout to zero. BNS combined formulaic maximum not disclosed (N/A).</x:v>
      </x:c>
    </x:row>
    <x:row r="20">
      <x:c r="A20" t="str">
        <x:v>TD CEO transition</x:v>
      </x:c>
      <x:c r="B20" t="str">
        <x:v>9 months as CEO in FY2025; reported actual TDC blended; annualized target TDC $12,000 thousand.</x:v>
      </x:c>
    </x:row>
    <x:row r="21">
      <x:c r="A21" t="str">
        <x:v>Pay vs size</x:v>
      </x:c>
      <x:c r="B21" t="str">
        <x:v>CEO TDC per $1B adjusted NI ($000) = Actual TDC ($000) / (Adjusted NI ($M) / 1000); values are amounts, not percentages.</x:v>
      </x:c>
    </x:row>
    <x:row r="22">
      <x:c r="A22" t="str">
        <x:v>Special award adjustment</x:v>
      </x:c>
      <x:c r="B22" t="str">
        <x:v>Subtract disclosed special equity award from FY2024/25 TDC; TD YoY suppressed</x:v>
      </x:c>
    </x:row>
    <x:row r="23">
      <x:c r="A23" t="str">
        <x:v>Workbook state</x:v>
      </x:c>
      <x:c r="B23" t="str">
        <x:v>Stage 2 analysis; Stage 3 findings and Stage 4 presentation await separate approval</x:v>
      </x:c>
    </x:row>
    <x:row r="25">
      <x:c r="A25" t="str">
        <x:v>Stage 2 revision</x:v>
      </x:c>
      <x:c r="B25" t="str">
        <x:v>Percentages stored as decimals (e.g. 97.05% as 0.9705); 0.0% display</x:v>
      </x:c>
    </x:row>
    <x:row r="26">
      <x:c r="A26" t="str">
        <x:v>N/A convention</x:v>
      </x:c>
      <x:c r="B26" t="str">
        <x:v>RY BPF and TD/NA STI targets and award ratios are text N/A; percentiles exclude text</x:v>
      </x:c>
    </x:row>
    <x:row r="27">
      <x:c r="A27" t="str">
        <x:v>Percentile methodology</x:v>
      </x:c>
      <x:c r="B27" t="str">
        <x:v>P25/P50/P75 via PERCENTILE.INC; TDC bank percentile via PERCENTRANK.INC</x:v>
      </x:c>
    </x:row>
    <x:row r="28">
      <x:c r="A28" t="str">
        <x:v>Pay-to-size metric</x:v>
      </x:c>
      <x:c r="B28" t="str">
        <x:v>CEO actual TDC ($000) / (adjusted net income ($M) / 1,000)</x:v>
      </x:c>
    </x:row>
    <x:row r="29">
      <x:c r="A29" t="str">
        <x:v>QA verification</x:v>
      </x:c>
      <x:c r="B29" t="str">
        <x:v>6_QA_Log is an independent review template: verified values and outcomes intentionally blank</x:v>
      </x:c>
    </x:row>
    <x:row r="30">
      <x:c r="A30" t="str">
        <x:v>Chart tables</x:v>
      </x:c>
      <x:c r="B30" t="str">
        <x:v>5_Charts contains six Stage 4 chart source tables; RY bank factor remains N/A</x:v>
      </x:c>
    </x:row>
    <x:row r="31">
      <x:c r="A31" t="str">
        <x:v>Source caution</x:v>
      </x:c>
      <x:c r="B31" t="str">
        <x:v>BNS PSU combined maximum not disclosed; its maximum is N/A, not 0%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</x:cols>
  <x:sheetData>
    <x:row r="1" ht="32" customHeight="1">
      <x:c r="A1" s="22" t="str">
        <x:v>Bank</x:v>
      </x:c>
      <x:c r="B1" s="22" t="str">
        <x:v>CEO FY2025</x:v>
      </x:c>
      <x:c r="C1" s="22" t="str">
        <x:v>Months CEO FY25</x:v>
      </x:c>
      <x:c r="D1" s="22" t="str">
        <x:v>Salary25 $000</x:v>
      </x:c>
      <x:c r="E1" s="22" t="str">
        <x:v>Shares25 $000</x:v>
      </x:c>
      <x:c r="F1" s="22" t="str">
        <x:v>Options25 $000</x:v>
      </x:c>
      <x:c r="G1" s="22" t="str">
        <x:v>STI25 $000</x:v>
      </x:c>
      <x:c r="H1" s="22" t="str">
        <x:v>Pension25 $000</x:v>
      </x:c>
      <x:c r="I1" s="22" t="str">
        <x:v>Other25 $000</x:v>
      </x:c>
      <x:c r="J1" s="22" t="str">
        <x:v>SCT25 $000</x:v>
      </x:c>
      <x:c r="K1" s="22" t="str">
        <x:v>Salary24 $000</x:v>
      </x:c>
      <x:c r="L1" s="22" t="str">
        <x:v>Shares24 $000</x:v>
      </x:c>
      <x:c r="M1" s="22" t="str">
        <x:v>Options24 $000</x:v>
      </x:c>
      <x:c r="N1" s="22" t="str">
        <x:v>STI24 $000</x:v>
      </x:c>
      <x:c r="O1" s="22" t="str">
        <x:v>Pension24 $000</x:v>
      </x:c>
      <x:c r="P1" s="22" t="str">
        <x:v>Other24 $000</x:v>
      </x:c>
      <x:c r="Q1" s="22" t="str">
        <x:v>SCT24 $000</x:v>
      </x:c>
      <x:c r="R1" s="22" t="str">
        <x:v>Target TDC25 $000</x:v>
      </x:c>
      <x:c r="S1" s="22" t="str">
        <x:v>Actual TDC25 $000 disclosed</x:v>
      </x:c>
      <x:c r="T1" s="22" t="str">
        <x:v>Final BPF %</x:v>
      </x:c>
      <x:c r="U1" s="22" t="str">
        <x:v>Initial BPF %</x:v>
      </x:c>
      <x:c r="V1" s="22" t="str">
        <x:v>Adjusted NI25 $M</x:v>
      </x:c>
      <x:c r="W1" s="22" t="str">
        <x:v>Reported NI25 $M</x:v>
      </x:c>
      <x:c r="X1" s="22" t="str">
        <x:v>Say on Pay %</x:v>
      </x:c>
      <x:c r="Y1" s="22" t="str">
        <x:v>Special24 $000</x:v>
      </x:c>
      <x:c r="Z1" s="22" t="str">
        <x:v>Special25 $000</x:v>
      </x:c>
      <x:c r="AA1" s="22" t="str">
        <x:v>PSU design type</x:v>
      </x:c>
      <x:c r="AB1" s="22" t="str">
        <x:v>Circular source pages</x:v>
      </x:c>
      <x:c r="AC1" s="22" t="str">
        <x:v>Circular URL</x:v>
      </x:c>
      <x:c r="AD1" s="22" t="str">
        <x:v>Voting URL</x:v>
      </x:c>
      <x:c r="AE1" s="22" t="str">
        <x:v>BPF rationale</x:v>
      </x:c>
      <x:c r="AF1" s="22" t="str">
        <x:v>Earnings definition</x:v>
      </x:c>
      <x:c r="AG1" s="22" t="str">
        <x:v>Special award note</x:v>
      </x:c>
      <x:c r="AH1" s="22" t="str">
        <x:v>STI formula / weighting</x:v>
      </x:c>
      <x:c r="AI1" s="22" t="str">
        <x:v>CEO STI target $000</x:v>
      </x:c>
      <x:c r="AJ1" s="22" t="str">
        <x:v>CEO award/target %</x:v>
      </x:c>
      <x:c r="AK1" s="22" t="str">
        <x:v>LTI mix / PSU metrics</x:v>
      </x:c>
      <x:c r="AL1" s="22" t="str">
        <x:v>Ownership</x:v>
      </x:c>
      <x:c r="AM1" s="22" t="str">
        <x:v>Peer group</x:v>
      </x:c>
      <x:c r="AN1" s="22" t="str">
        <x:v>Data notes</x:v>
      </x:c>
      <x:c r="AO1" s="22" t="str">
        <x:v>PSU % of LTI</x:v>
      </x:c>
      <x:c r="AP1" s="22" t="str">
        <x:v>Options % of LTI</x:v>
      </x:c>
      <x:c r="AQ1" s="22" t="str">
        <x:v>RSU % of LTI</x:v>
      </x:c>
      <x:c r="AR1" s="22" t="str">
        <x:v>PSU payout min %</x:v>
      </x:c>
      <x:c r="AS1" s="22" t="str">
        <x:v>PSU payout max %</x:v>
      </x:c>
    </x:row>
    <x:row r="2" ht="26" customHeight="1">
      <x:c r="A2" t="str">
        <x:v>RY</x:v>
      </x:c>
      <x:c r="B2" t="str">
        <x:v>Dave McKay</x:v>
      </x:c>
      <x:c r="C2" t="n">
        <x:v>12</x:v>
      </x:c>
      <x:c r="D2" s="29" t="n">
        <x:v>2000</x:v>
      </x:c>
      <x:c r="E2" s="29" t="n">
        <x:v>10120</x:v>
      </x:c>
      <x:c r="F2" s="29" t="n">
        <x:v>2530</x:v>
      </x:c>
      <x:c r="G2" s="29" t="n">
        <x:v>7440</x:v>
      </x:c>
      <x:c r="H2" s="29" t="n">
        <x:v>1606</x:v>
      </x:c>
      <x:c r="I2" s="29" t="n">
        <x:v>60</x:v>
      </x:c>
      <x:c r="J2" s="29" t="n">
        <x:v>23756</x:v>
      </x:c>
      <x:c r="K2" s="29" t="n">
        <x:v>1917</x:v>
      </x:c>
      <x:c r="L2" s="29" t="n">
        <x:v>13460</x:v>
      </x:c>
      <x:c r="M2" s="29" t="n">
        <x:v>2365</x:v>
      </x:c>
      <x:c r="N2" s="29" t="n">
        <x:v>6668</x:v>
      </x:c>
      <x:c r="O2" s="29" t="n">
        <x:v>1505</x:v>
      </x:c>
      <x:c r="P2" s="29" t="n">
        <x:v>57</x:v>
      </x:c>
      <x:c r="Q2" s="29" t="n">
        <x:v>25972</x:v>
      </x:c>
      <x:c r="R2" s="29" t="n">
        <x:v>17000</x:v>
      </x:c>
      <x:c r="S2" s="29" t="n">
        <x:v>22090</x:v>
      </x:c>
      <x:c r="T2" s="25" t="str">
        <x:v>N/A</x:v>
      </x:c>
      <x:c r="U2" s="25" t="str">
        <x:v>N/A</x:v>
      </x:c>
      <x:c r="V2" s="29" t="n">
        <x:v>20369</x:v>
      </x:c>
      <x:c r="W2" s="29" t="n">
        <x:v>20369</x:v>
      </x:c>
      <x:c r="X2" s="25" t="n">
        <x:v>0.9704999999999999</x:v>
      </x:c>
      <x:c r="Y2" s="29" t="n">
        <x:v>4000</x:v>
      </x:c>
      <x:c r="Z2" s="29" t="n">
        <x:v>0</x:v>
      </x:c>
      <x:c r="AA2" t="str">
        <x:v>Modifier on award value</x:v>
      </x:c>
      <x:c r="AB2" t="str">
        <x:v>SCT 87/PDF90; CD&amp;A 79/PDF82, 80-81/PDF82-83; earnings 98/PDF101; vote PDF1</x:v>
      </x:c>
      <x:c r="AC2" t="str">
        <x:v>https://www.rbc.com/investor-relations/_assets-custom/pdf/2026englishproxy.pdf</x:v>
      </x:c>
      <x:c r="AD2" t="str">
        <x:v>https://www.rbc.com/investor-relations/_assets-custom/pdf/voting-results-en_26.pdf</x:v>
      </x:c>
      <x:c r="AE2" t="str">
        <x:v>Discretionary/non-formulaic</x:v>
      </x:c>
      <x:c r="AF2" t="str">
        <x:v>Reported = STI adjusted NI; no 2025 adjustments</x:v>
      </x:c>
      <x:c r="AG2" t="str">
        <x:v>FY2024 HSBC Canada integration PSU 4,000</x:v>
      </x:c>
      <x:c r="AH2" t="str">
        <x:v>60% financial / 10% client / 30% risk-strategy; no single BPF</x:v>
      </x:c>
      <x:c r="AI2" s="30" t="n">
        <x:v>4000</x:v>
      </x:c>
      <x:c r="AJ2" s="26" t="n">
        <x:v>1.86</x:v>
      </x:c>
      <x:c r="AK2" t="str">
        <x:v>80% PDSU, 20% options; relative TSR ±25%</x:v>
      </x:c>
      <x:c r="AL2" t="str">
        <x:v>8x salary</x:v>
      </x:c>
      <x:c r="AM2" t="str">
        <x:v>TD, BNS, BMO, CM, Manulife, Sun Life plus international comparators</x:v>
      </x:c>
      <x:c r="AN2" t="str">
        <x:v>RBC 20,400 was rounded reported income; exact 20,369</x:v>
      </x:c>
      <x:c r="AO2" s="26" t="n">
        <x:v>0.8</x:v>
      </x:c>
      <x:c r="AP2" s="26" t="n">
        <x:v>0.2</x:v>
      </x:c>
      <x:c r="AQ2" s="26" t="n">
        <x:v>0</x:v>
      </x:c>
      <x:c r="AR2" s="26" t="n">
        <x:v>0.75</x:v>
      </x:c>
      <x:c r="AS2" s="26" t="n">
        <x:v>1.25</x:v>
      </x:c>
    </x:row>
    <x:row r="3" ht="26" customHeight="1">
      <x:c r="A3" t="str">
        <x:v>TD</x:v>
      </x:c>
      <x:c r="B3" t="str">
        <x:v>Raymond Chun</x:v>
      </x:c>
      <x:c r="C3" t="n">
        <x:v>9</x:v>
      </x:c>
      <x:c r="D3" s="29" t="n">
        <x:v>1151</x:v>
      </x:c>
      <x:c r="E3" s="29" t="n">
        <x:v>6630</x:v>
      </x:c>
      <x:c r="F3" s="29" t="n">
        <x:v>3265</x:v>
      </x:c>
      <x:c r="G3" s="29" t="n">
        <x:v>2630</x:v>
      </x:c>
      <x:c r="H3" s="29" t="n">
        <x:v>812</x:v>
      </x:c>
      <x:c r="I3" s="29" t="n">
        <x:v>86</x:v>
      </x:c>
      <x:c r="J3" s="29" t="n">
        <x:v>14574</x:v>
      </x:c>
      <x:c r="K3" s="29" t="n">
        <x:v>738</x:v>
      </x:c>
      <x:c r="L3" s="29" t="n">
        <x:v>1470</x:v>
      </x:c>
      <x:c r="M3" s="29" t="n">
        <x:v>724</x:v>
      </x:c>
      <x:c r="N3" s="29" t="n">
        <x:v>1181</x:v>
      </x:c>
      <x:c r="O3" s="29" t="n">
        <x:v>118</x:v>
      </x:c>
      <x:c r="P3" s="29" t="n">
        <x:v>52</x:v>
      </x:c>
      <x:c r="Q3" s="29" t="n">
        <x:v>4282</x:v>
      </x:c>
      <x:c r="R3" s="29" t="n">
        <x:v>12000</x:v>
      </x:c>
      <x:c r="S3" s="29" t="n">
        <x:v>13675</x:v>
      </x:c>
      <x:c r="T3" s="25" t="n">
        <x:v>1.225</x:v>
      </x:c>
      <x:c r="U3" s="27" t="n">
        <x:v>1.1540000000000001</x:v>
      </x:c>
      <x:c r="V3" s="29" t="n">
        <x:v>15025</x:v>
      </x:c>
      <x:c r="W3" s="29" t="n">
        <x:v>20538</x:v>
      </x:c>
      <x:c r="X3" s="25" t="n">
        <x:v>0.95</x:v>
      </x:c>
      <x:c r="Y3" s="29" t="n">
        <x:v>0</x:v>
      </x:c>
      <x:c r="Z3" s="29" t="n">
        <x:v>0</x:v>
      </x:c>
      <x:c r="AA3" t="str">
        <x:v>Modifier on award value</x:v>
      </x:c>
      <x:c r="AB3" t="str">
        <x:v>SCT 107/PDF112; initial BPF 84/PDF89; final BPF 99/PDF104; earnings 91/PDF96; vote HTML item3</x:v>
      </x:c>
      <x:c r="AC3" t="str">
        <x:v>https://www.td.com/content/dam/tdcom/canada/about-td/pdf/td-investor-2026-proxy-en.pdf</x:v>
      </x:c>
      <x:c r="AD3" t="str">
        <x:v>https://www.sec.gov/Archives/edgar/data/947263/000127956926000313/ex991.htm</x:v>
      </x:c>
      <x:c r="AE3" t="str">
        <x:v>Initial 115.4 + 7.1 pp strategic initiatives adjustment = final 122.5; Schwab, AML, strategy and shareholder returns</x:v>
      </x:c>
      <x:c r="AF3" t="str">
        <x:v>Adjusted total NIAT 15,025; reported 20,538</x:v>
      </x:c>
      <x:c r="AG3" t="str">
        <x:v>None identified</x:v>
      </x:c>
      <x:c r="AH3" t="str">
        <x:v>70% adjusted NIAT / 20% client-ESG / 10% ROTCE scorecard; strategic initiatives +7.1 pp</x:v>
      </x:c>
      <x:c r="AI3" s="30" t="str">
        <x:v>N/A</x:v>
      </x:c>
      <x:c r="AJ3" s="26" t="str">
        <x:v>N/A</x:v>
      </x:c>
      <x:c r="AK3" t="str">
        <x:v>67% PSU / 33% options; relative TSR ±25%</x:v>
      </x:c>
      <x:c r="AL3" t="str">
        <x:v>10x salary</x:v>
      </x:c>
      <x:c r="AM3" t="str">
        <x:v>Four other Big Five banks</x:v>
      </x:c>
      <x:c r="AN3" t="str">
        <x:v>FY2024 CEO role transition; YoY n.m.; 12,000 annualized target TDC</x:v>
      </x:c>
      <x:c r="AO3" s="26" t="n">
        <x:v>0.67</x:v>
      </x:c>
      <x:c r="AP3" s="26" t="n">
        <x:v>0.33</x:v>
      </x:c>
      <x:c r="AQ3" s="26" t="n">
        <x:v>0</x:v>
      </x:c>
      <x:c r="AR3" s="26" t="n">
        <x:v>0.6</x:v>
      </x:c>
      <x:c r="AS3" s="26" t="n">
        <x:v>1.5</x:v>
      </x:c>
    </x:row>
    <x:row r="4" ht="26" customHeight="1">
      <x:c r="A4" t="str">
        <x:v>BNS</x:v>
      </x:c>
      <x:c r="B4" t="str">
        <x:v>L. Scott Thomson</x:v>
      </x:c>
      <x:c r="C4" t="n">
        <x:v>12</x:v>
      </x:c>
      <x:c r="D4" s="29" t="n">
        <x:v>1100</x:v>
      </x:c>
      <x:c r="E4" s="29" t="n">
        <x:v>6888</x:v>
      </x:c>
      <x:c r="F4" s="29" t="n">
        <x:v>1722</x:v>
      </x:c>
      <x:c r="G4" s="29" t="n">
        <x:v>2870</x:v>
      </x:c>
      <x:c r="H4" s="29" t="n">
        <x:v>658</x:v>
      </x:c>
      <x:c r="I4" s="29" t="n">
        <x:v>4</x:v>
      </x:c>
      <x:c r="J4" s="29" t="n">
        <x:v>13242</x:v>
      </x:c>
      <x:c r="K4" s="29" t="n">
        <x:v>1000</x:v>
      </x:c>
      <x:c r="L4" s="29" t="n">
        <x:v>5256</x:v>
      </x:c>
      <x:c r="M4" s="29" t="n">
        <x:v>1314</x:v>
      </x:c>
      <x:c r="N4" s="29" t="n">
        <x:v>2190</x:v>
      </x:c>
      <x:c r="O4" s="29" t="n">
        <x:v>553</x:v>
      </x:c>
      <x:c r="P4" s="29" t="n">
        <x:v>4</x:v>
      </x:c>
      <x:c r="Q4" s="29" t="n">
        <x:v>10317</x:v>
      </x:c>
      <x:c r="R4" s="29" t="n">
        <x:v>11500</x:v>
      </x:c>
      <x:c r="S4" s="29" t="n">
        <x:v>12580</x:v>
      </x:c>
      <x:c r="T4" s="25" t="n">
        <x:v>1.03</x:v>
      </x:c>
      <x:c r="U4" s="25" t="str">
        <x:v>N/A</x:v>
      </x:c>
      <x:c r="V4" s="29" t="n">
        <x:v>9510</x:v>
      </x:c>
      <x:c r="W4" s="29" t="n">
        <x:v>7758</x:v>
      </x:c>
      <x:c r="X4" s="25" t="n">
        <x:v>0.9589</x:v>
      </x:c>
      <x:c r="Y4" s="29" t="n">
        <x:v>0</x:v>
      </x:c>
      <x:c r="Z4" s="29" t="n">
        <x:v>0</x:v>
      </x:c>
      <x:c r="AA4" t="str">
        <x:v>Threshold-to-maximum range</x:v>
      </x:c>
      <x:c r="AB4" t="str">
        <x:v>SCT 104/SEC HTML; CD&amp;A 92-97/SEC HTML; earnings 103/SEC HTML; vote PDF1</x:v>
      </x:c>
      <x:c r="AC4" t="str">
        <x:v>https://www.sec.gov/Archives/edgar/data/9631/000119312526101156/d121533dex991.htm</x:v>
      </x:c>
      <x:c r="AD4" t="str">
        <x:v>https://www.scotiabank.com/content/dam/scotiabank/corporate/quarterly-reports/2025/q4/Voting_Results_English_2026.pdf</x:v>
      </x:c>
      <x:c r="AE4" t="str">
        <x:v>BPF 103%; individual factor 140%; 80/20 NOT verified</x:v>
      </x:c>
      <x:c r="AF4" t="str">
        <x:v>Adjusted consolidated NI 9,510</x:v>
      </x:c>
      <x:c r="AG4" t="str">
        <x:v>None identified</x:v>
      </x:c>
      <x:c r="AH4" t="str">
        <x:v>BPF and individual factor separately disclosed; combined weighting NOT FOUND</x:v>
      </x:c>
      <x:c r="AI4" s="30" t="n">
        <x:v>2600</x:v>
      </x:c>
      <x:c r="AJ4" s="26" t="n">
        <x:v>1.104</x:v>
      </x:c>
      <x:c r="AK4" t="str">
        <x:v>80% PSU / 20% options; ROE then TSR two-stage</x:v>
      </x:c>
      <x:c r="AL4" t="str">
        <x:v>8x salary</x:v>
      </x:c>
      <x:c r="AM4" t="str">
        <x:v>Five banks, insurers</x:v>
      </x:c>
      <x:c r="AN4" t="str">
        <x:v>No 80/20 formula claim</x:v>
      </x:c>
      <x:c r="AO4" s="26" t="n">
        <x:v>0.8</x:v>
      </x:c>
      <x:c r="AP4" s="26" t="n">
        <x:v>0.2</x:v>
      </x:c>
      <x:c r="AQ4" s="26" t="n">
        <x:v>0</x:v>
      </x:c>
      <x:c r="AR4" s="26" t="n">
        <x:v>0</x:v>
      </x:c>
      <x:c r="AS4" s="26" t="str">
        <x:v>N/A</x:v>
      </x:c>
    </x:row>
    <x:row r="5" ht="26" customHeight="1">
      <x:c r="A5" t="str">
        <x:v>BMO</x:v>
      </x:c>
      <x:c r="B5" t="str">
        <x:v>Darryl White</x:v>
      </x:c>
      <x:c r="C5" t="n">
        <x:v>12</x:v>
      </x:c>
      <x:c r="D5" s="29" t="n">
        <x:v>1200</x:v>
      </x:c>
      <x:c r="E5" s="29" t="n">
        <x:v>8600</x:v>
      </x:c>
      <x:c r="F5" s="29" t="n">
        <x:v>2106</x:v>
      </x:c>
      <x:c r="G5" s="29" t="n">
        <x:v>3539</x:v>
      </x:c>
      <x:c r="H5" s="29" t="n">
        <x:v>1544</x:v>
      </x:c>
      <x:c r="I5" s="29" t="n">
        <x:v>54</x:v>
      </x:c>
      <x:c r="J5" s="29" t="n">
        <x:v>17042</x:v>
      </x:c>
      <x:c r="K5" s="29" t="n">
        <x:v>1100</x:v>
      </x:c>
      <x:c r="L5" s="29" t="n">
        <x:v>4960</x:v>
      </x:c>
      <x:c r="M5" s="29" t="n">
        <x:v>1280</x:v>
      </x:c>
      <x:c r="N5" s="29" t="n">
        <x:v>2280</x:v>
      </x:c>
      <x:c r="O5" s="29" t="n">
        <x:v>1296</x:v>
      </x:c>
      <x:c r="P5" s="29" t="n">
        <x:v>53</x:v>
      </x:c>
      <x:c r="Q5" s="29" t="n">
        <x:v>10969</x:v>
      </x:c>
      <x:c r="R5" s="29" t="n">
        <x:v>13375</x:v>
      </x:c>
      <x:c r="S5" s="29" t="n">
        <x:v>15445</x:v>
      </x:c>
      <x:c r="T5" s="25" t="n">
        <x:v>1.17</x:v>
      </x:c>
      <x:c r="U5" s="25" t="str">
        <x:v>N/A</x:v>
      </x:c>
      <x:c r="V5" s="29" t="n">
        <x:v>9248</x:v>
      </x:c>
      <x:c r="W5" s="29" t="n">
        <x:v>8725</x:v>
      </x:c>
      <x:c r="X5" s="25" t="n">
        <x:v>0.9634</x:v>
      </x:c>
      <x:c r="Y5" s="29" t="n">
        <x:v>0</x:v>
      </x:c>
      <x:c r="Z5" s="29" t="n">
        <x:v>0</x:v>
      </x:c>
      <x:c r="AA5" t="str">
        <x:v>Modifier on award value</x:v>
      </x:c>
      <x:c r="AB5" t="str">
        <x:v>SCT 77/PDF81; CD&amp;A 43/PDF48, 60/PDF64, 66-67/PDF70-71; earnings 61/PDF65; vote PDF1</x:v>
      </x:c>
      <x:c r="AC5" t="str">
        <x:v>https://www.bmo.com/ir/files/F26%20Files/BMOProxy_March2026.pdf</x:v>
      </x:c>
      <x:c r="AD5" t="str">
        <x:v>https://www.bmo.com/ir/files/F26%20Files/VoteResults2026.pdf</x:v>
      </x:c>
      <x:c r="AE5" t="str">
        <x:v>Financial and strategy contribution 91+26 =117; TSR modifier 100%</x:v>
      </x:c>
      <x:c r="AF5" t="str">
        <x:v>Reported 8,725 derived; adjusted 9,248</x:v>
      </x:c>
      <x:c r="AG5" t="str">
        <x:v>None identified</x:v>
      </x:c>
      <x:c r="AH5" t="str">
        <x:v>25% each adjusted ROE, EPS growth, efficiency, risk/strategy</x:v>
      </x:c>
      <x:c r="AI5" s="30" t="n">
        <x:v>3043.75</x:v>
      </x:c>
      <x:c r="AJ5" s="26" t="n">
        <x:v>1.163</x:v>
      </x:c>
      <x:c r="AK5" t="str">
        <x:v>~80.3% share/PDSU, 19.7% options; TSR ±20%</x:v>
      </x:c>
      <x:c r="AL5" t="str">
        <x:v>8x salary (FY2025)</x:v>
      </x:c>
      <x:c r="AM5" t="str">
        <x:v>Canadian and North American peers</x:v>
      </x:c>
      <x:c r="AN5" t="str">
        <x:v>Midyear target increase; prior target 11,750 inferred</x:v>
      </x:c>
      <x:c r="AO5" s="26" t="n">
        <x:v>0.8033</x:v>
      </x:c>
      <x:c r="AP5" s="26" t="n">
        <x:v>0.1967</x:v>
      </x:c>
      <x:c r="AQ5" s="26" t="n">
        <x:v>0</x:v>
      </x:c>
      <x:c r="AR5" s="26" t="n">
        <x:v>0.8</x:v>
      </x:c>
      <x:c r="AS5" s="26" t="n">
        <x:v>1.2</x:v>
      </x:c>
    </x:row>
    <x:row r="6" ht="26" customHeight="1">
      <x:c r="A6" t="str">
        <x:v>NA</x:v>
      </x:c>
      <x:c r="B6" t="str">
        <x:v>Laurent Ferreira</x:v>
      </x:c>
      <x:c r="C6" t="n">
        <x:v>12</x:v>
      </x:c>
      <x:c r="D6" s="29" t="n">
        <x:v>1112</x:v>
      </x:c>
      <x:c r="E6" s="29" t="n">
        <x:v>6923</x:v>
      </x:c>
      <x:c r="F6" s="29" t="n">
        <x:v>2308</x:v>
      </x:c>
      <x:c r="G6" s="29" t="n">
        <x:v>2308</x:v>
      </x:c>
      <x:c r="H6" s="29" t="n">
        <x:v>795</x:v>
      </x:c>
      <x:c r="I6" s="29" t="n">
        <x:v>0</x:v>
      </x:c>
      <x:c r="J6" s="29" t="n">
        <x:v>13445</x:v>
      </x:c>
      <x:c r="K6" s="29" t="n">
        <x:v>1047</x:v>
      </x:c>
      <x:c r="L6" s="29" t="n">
        <x:v>5215</x:v>
      </x:c>
      <x:c r="M6" s="29" t="n">
        <x:v>2569</x:v>
      </x:c>
      <x:c r="N6" s="29" t="n">
        <x:v>2595</x:v>
      </x:c>
      <x:c r="O6" s="29" t="n">
        <x:v>649</x:v>
      </x:c>
      <x:c r="P6" s="29" t="n">
        <x:v>0</x:v>
      </x:c>
      <x:c r="Q6" s="29" t="n">
        <x:v>12074</x:v>
      </x:c>
      <x:c r="R6" s="29" t="n">
        <x:v>11000</x:v>
      </x:c>
      <x:c r="S6" s="29" t="n">
        <x:v>12650</x:v>
      </x:c>
      <x:c r="T6" s="25" t="n">
        <x:v>1.055</x:v>
      </x:c>
      <x:c r="U6" s="25" t="str">
        <x:v>N/A</x:v>
      </x:c>
      <x:c r="V6" s="29" t="n">
        <x:v>4314</x:v>
      </x:c>
      <x:c r="W6" s="29" t="n">
        <x:v>3852</x:v>
      </x:c>
      <x:c r="X6" s="25" t="n">
        <x:v>0.9586</x:v>
      </x:c>
      <x:c r="Y6" s="29" t="n">
        <x:v>0</x:v>
      </x:c>
      <x:c r="Z6" s="29" t="n">
        <x:v>0</x:v>
      </x:c>
      <x:c r="AA6" t="str">
        <x:v>Threshold-to-maximum range</x:v>
      </x:c>
      <x:c r="AB6" t="str">
        <x:v>SCT 142/PDF154; CD&amp;A 120-121/PDF132-133,136/PDF148; earnings 96/PDF108; vote PDF2</x:v>
      </x:c>
      <x:c r="AC6" t="str">
        <x:v>https://www.nbc.ca/content/dam/bnc/a-propos-de-nous/relations-investisseurs/assemblee-annuelle/2026/nbc-circular-2026.pdf</x:v>
      </x:c>
      <x:c r="AD6" t="str">
        <x:v>https://www.nbc.ca/content/dam/bnc/a-propos-de-nous/relations-investisseurs/assemblee-annuelle/2026/nbc-2026-agm-voting-results.pdf</x:v>
      </x:c>
      <x:c r="AE6" t="str">
        <x:v>SYNERGY executives envelope 105.5%</x:v>
      </x:c>
      <x:c r="AF6" t="str">
        <x:v>Adjusted ANI attributable to shareholders 4,314; comp-only 4,092</x:v>
      </x:c>
      <x:c r="AG6" t="str">
        <x:v>None identified</x:v>
      </x:c>
      <x:c r="AH6" t="str">
        <x:v>33.3% net client growth / 33.3% NPS / 33.3% operating leverage</x:v>
      </x:c>
      <x:c r="AI6" s="30" t="str">
        <x:v>N/A</x:v>
      </x:c>
      <x:c r="AJ6" s="26" t="str">
        <x:v>N/A</x:v>
      </x:c>
      <x:c r="AK6" t="str">
        <x:v>75% PSU / 25% options; TSR 50%, ROE 50%; 0-200%</x:v>
      </x:c>
      <x:c r="AL6" t="str">
        <x:v>3x average target TDC; direct 1x</x:v>
      </x:c>
      <x:c r="AM6" t="str">
        <x:v>Other five Canadian banks</x:v>
      </x:c>
      <x:c r="AN6" t="str">
        <x:v>Adjusted NI denominator exception</x:v>
      </x:c>
      <x:c r="AO6" s="26" t="n">
        <x:v>0.75</x:v>
      </x:c>
      <x:c r="AP6" s="26" t="n">
        <x:v>0.25</x:v>
      </x:c>
      <x:c r="AQ6" s="26" t="n">
        <x:v>0</x:v>
      </x:c>
      <x:c r="AR6" s="26" t="n">
        <x:v>0</x:v>
      </x:c>
      <x:c r="AS6" s="26" t="n">
        <x:v>2</x:v>
      </x:c>
    </x:row>
    <x:row r="7" ht="26" customHeight="1">
      <x:c r="A7" t="str">
        <x:v>CM</x:v>
      </x:c>
      <x:c r="B7" t="str">
        <x:v>Victor Dodig</x:v>
      </x:c>
      <x:c r="C7" t="n">
        <x:v>12</x:v>
      </x:c>
      <x:c r="D7" s="29" t="n">
        <x:v>1000</x:v>
      </x:c>
      <x:c r="E7" s="29" t="n">
        <x:v>9980</x:v>
      </x:c>
      <x:c r="F7" s="29" t="n">
        <x:v>2495</x:v>
      </x:c>
      <x:c r="G7" s="29" t="n">
        <x:v>3119</x:v>
      </x:c>
      <x:c r="H7" s="29" t="n">
        <x:v>582</x:v>
      </x:c>
      <x:c r="I7" s="29" t="n">
        <x:v>2</x:v>
      </x:c>
      <x:c r="J7" s="29" t="n">
        <x:v>17178</x:v>
      </x:c>
      <x:c r="K7" s="29" t="n">
        <x:v>1000</x:v>
      </x:c>
      <x:c r="L7" s="29" t="n">
        <x:v>7741</x:v>
      </x:c>
      <x:c r="M7" s="29" t="n">
        <x:v>1935</x:v>
      </x:c>
      <x:c r="N7" s="29" t="n">
        <x:v>2419</x:v>
      </x:c>
      <x:c r="O7" s="29" t="n">
        <x:v>510</x:v>
      </x:c>
      <x:c r="P7" s="29" t="n">
        <x:v>2</x:v>
      </x:c>
      <x:c r="Q7" s="29" t="n">
        <x:v>13608</x:v>
      </x:c>
      <x:c r="R7" s="29" t="n">
        <x:v>13000</x:v>
      </x:c>
      <x:c r="S7" s="29" t="n">
        <x:v>16594</x:v>
      </x:c>
      <x:c r="T7" s="25" t="n">
        <x:v>1.15</x:v>
      </x:c>
      <x:c r="U7" s="25" t="str">
        <x:v>N/A</x:v>
      </x:c>
      <x:c r="V7" s="29" t="n">
        <x:v>8487</x:v>
      </x:c>
      <x:c r="W7" s="29" t="n">
        <x:v>8454</x:v>
      </x:c>
      <x:c r="X7" s="25" t="n">
        <x:v>0.9559000000000001</x:v>
      </x:c>
      <x:c r="Y7" s="29" t="n">
        <x:v>0</x:v>
      </x:c>
      <x:c r="Z7" s="29" t="n">
        <x:v>0</x:v>
      </x:c>
      <x:c r="AA7" t="str">
        <x:v>Threshold-to-maximum range</x:v>
      </x:c>
      <x:c r="AB7" t="str">
        <x:v>SCT 86/PDF90; CD&amp;A 69/PDF73, 71-74/PDF75-78,78/PDF82; earnings 99/PDF103; vote PDF1</x:v>
      </x:c>
      <x:c r="AC7" t="str">
        <x:v>https://www.cibc.com/content/dam/cibc-public-assets/about-cibc/investor-relations/pdfs/annual_meetings/management-proxy-circular-2026-en.pdf</x:v>
      </x:c>
      <x:c r="AD7" t="str">
        <x:v>https://www.cibc.com/content/dam/cibc-public-assets/about-cibc/investor-relations/pdfs/annual_meetings/2026/voting-results-2026-en.pdf</x:v>
      </x:c>
      <x:c r="AE7" t="str">
        <x:v>GPS bank factor 115%; equal bank and individual weighting</x:v>
      </x:c>
      <x:c r="AF7" t="str">
        <x:v>Adjusted consolidated net income 8,487</x:v>
      </x:c>
      <x:c r="AG7" t="str">
        <x:v>None identified</x:v>
      </x:c>
      <x:c r="AH7" t="str">
        <x:v>50% bank factor + 50% individual factor</x:v>
      </x:c>
      <x:c r="AI7" s="30" t="n">
        <x:v>2400</x:v>
      </x:c>
      <x:c r="AJ7" s="26" t="n">
        <x:v>1.3</x:v>
      </x:c>
      <x:c r="AK7" t="str">
        <x:v>80% PSU / 20% options; TSR 50%, ROE 50%; 75-125% formula</x:v>
      </x:c>
      <x:c r="AL7" t="str">
        <x:v>8x salary</x:v>
      </x:c>
      <x:c r="AM7" t="str">
        <x:v>Banks and Canadian insurers</x:v>
      </x:c>
      <x:c r="AN7" t="str">
        <x:v>CEO succession Nov 1 2025 after FY2025</x:v>
      </x:c>
      <x:c r="AO7" s="26" t="n">
        <x:v>0.8</x:v>
      </x:c>
      <x:c r="AP7" s="26" t="n">
        <x:v>0.2</x:v>
      </x:c>
      <x:c r="AQ7" s="26" t="n">
        <x:v>0</x:v>
      </x:c>
      <x:c r="AR7" s="26" t="n">
        <x:v>0.75</x:v>
      </x:c>
      <x:c r="AS7" s="26" t="n">
        <x:v>1.25</x:v>
      </x:c>
    </x:row>
    <x:row r="8">
      <x:c r="T8" s="26"/>
      <x:c r="U8" s="26"/>
      <x:c r="X8" s="26"/>
      <x:c r="AJ8" s="26"/>
      <x:c r="AO8" s="26"/>
      <x:c r="AP8" s="26"/>
      <x:c r="AQ8" s="26"/>
      <x:c r="AR8" s="26"/>
      <x:c r="AS8" s="26"/>
    </x:row>
    <x:row r="9">
      <x:c r="T9" s="26"/>
      <x:c r="U9" s="26"/>
      <x:c r="X9" s="26"/>
      <x:c r="AJ9" s="26"/>
      <x:c r="AO9" s="26"/>
      <x:c r="AP9" s="26"/>
      <x:c r="AQ9" s="26"/>
      <x:c r="AR9" s="26"/>
      <x:c r="AS9" s="26"/>
    </x:row>
    <x:row r="10">
      <x:c r="T10" s="26"/>
      <x:c r="U10" s="26"/>
      <x:c r="X10" s="26"/>
      <x:c r="AJ10" s="26"/>
      <x:c r="AO10" s="26"/>
      <x:c r="AP10" s="26"/>
      <x:c r="AQ10" s="26"/>
      <x:c r="AR10" s="26"/>
      <x:c r="AS10" s="26"/>
    </x:row>
    <x:row r="11">
      <x:c r="T11" s="26"/>
      <x:c r="U11" s="26"/>
      <x:c r="X11" s="26"/>
      <x:c r="AJ11" s="26"/>
      <x:c r="AO11" s="26"/>
      <x:c r="AP11" s="26"/>
      <x:c r="AQ11" s="26"/>
      <x:c r="AR11" s="26"/>
      <x:c r="AS11" s="26"/>
    </x:row>
    <x:row r="12">
      <x:c r="T12" s="26"/>
      <x:c r="U12" s="26"/>
      <x:c r="X12" s="26"/>
      <x:c r="AJ12" s="26"/>
      <x:c r="AO12" s="26"/>
      <x:c r="AP12" s="26"/>
      <x:c r="AQ12" s="26"/>
      <x:c r="AR12" s="26"/>
      <x:c r="AS12" s="26"/>
    </x:row>
  </x:sheetData>
  <x:autoFilter ref="A1:AS7"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  <x:col min="40" max="40" width="25" hidden="0" customWidth="1"/>
  </x:cols>
  <x:sheetData>
    <x:row r="1" ht="32" customHeight="1">
      <x:c r="A1" s="22" t="str">
        <x:v>Bank</x:v>
      </x:c>
      <x:c r="B1" s="22" t="str">
        <x:v>TDC25 calc $000</x:v>
      </x:c>
      <x:c r="C1" s="22" t="str">
        <x:v>TDC25 disclosed $000</x:v>
      </x:c>
      <x:c r="D1" s="22" t="str">
        <x:v>TDC25 delta $000</x:v>
      </x:c>
      <x:c r="E1" s="22" t="str">
        <x:v>SCT25 calc $000</x:v>
      </x:c>
      <x:c r="F1" s="22" t="str">
        <x:v>SCT25 disclosed $000</x:v>
      </x:c>
      <x:c r="G1" s="22" t="str">
        <x:v>SCT25 delta $000</x:v>
      </x:c>
      <x:c r="H1" s="22" t="str">
        <x:v>SCT24 calc $000</x:v>
      </x:c>
      <x:c r="I1" s="22" t="str">
        <x:v>SCT24 disclosed $000</x:v>
      </x:c>
      <x:c r="J1" s="22" t="str">
        <x:v>SCT24 delta $000</x:v>
      </x:c>
      <x:c r="K1" s="22" t="str">
        <x:v>TDC24 reported $000</x:v>
      </x:c>
      <x:c r="L1" s="22" t="str">
        <x:v>TDC24 ex-special $000</x:v>
      </x:c>
      <x:c r="M1" s="22" t="str">
        <x:v>TDC25 ex-special $000</x:v>
      </x:c>
      <x:c r="N1" s="22" t="str">
        <x:v>YoY TDC reported %</x:v>
      </x:c>
      <x:c r="O1" s="22" t="str">
        <x:v>YoY TDC ex-special %</x:v>
      </x:c>
      <x:c r="P1" s="22" t="str">
        <x:v>CEO TDC per $1B adjusted NI ($000)</x:v>
      </x:c>
      <x:c r="Q1" s="22" t="str">
        <x:v>Equity % TDC</x:v>
      </x:c>
      <x:c r="R1" s="22" t="str">
        <x:v>STI % TDC</x:v>
      </x:c>
      <x:c r="S1" s="22" t="str">
        <x:v>Final BPF %</x:v>
      </x:c>
      <x:c r="T1" s="22" t="str">
        <x:v>Say on Pay %</x:v>
      </x:c>
      <x:c r="U1" s="22" t="str">
        <x:v>Adjusted NI $M</x:v>
      </x:c>
      <x:c r="V1" s="22" t="str">
        <x:v>Reported NI $M</x:v>
      </x:c>
      <x:c r="W1" s="22" t="str">
        <x:v>Months CEO</x:v>
      </x:c>
      <x:c r="X1" s="22" t="str">
        <x:v>PSU design</x:v>
      </x:c>
      <x:c r="Y1" s="22" t="str">
        <x:v>Special FY24 $000</x:v>
      </x:c>
      <x:c r="Z1" s="22" t="str">
        <x:v>Special FY25 $000</x:v>
      </x:c>
      <x:c r="AA1" s="22" t="str">
        <x:v>CEO award/target %</x:v>
      </x:c>
      <x:c r="AB1" s="22" t="str">
        <x:v>STI target $000</x:v>
      </x:c>
      <x:c r="AC1" s="22" t="str">
        <x:v>SCT25 check</x:v>
      </x:c>
      <x:c r="AD1" s="22" t="str">
        <x:v>SCT24 check</x:v>
      </x:c>
      <x:c r="AE1" s="22" t="str">
        <x:v>Salary % TDC</x:v>
      </x:c>
      <x:c r="AF1" s="22" t="str">
        <x:v>LTI % TDC</x:v>
      </x:c>
      <x:c r="AG1" s="22" t="str">
        <x:v>At-risk % TDC</x:v>
      </x:c>
      <x:c r="AH1" s="4"/>
      <x:c r="AI1" s="4"/>
      <x:c r="AJ1" s="4"/>
      <x:c r="AK1" s="4"/>
      <x:c r="AL1" s="4"/>
      <x:c r="AM1" s="4"/>
      <x:c r="AN1" s="4"/>
    </x:row>
    <x:row r="2" ht="26" customHeight="1">
      <x:c r="A2" s="10" t="str">
        <x:f>'2_Raw_Data'!A2</x:f>
        <x:v>RY</x:v>
      </x:c>
      <x:c r="B2" s="31" t="n">
        <x:f>SUM('2_Raw_Data'!D2:G2)</x:f>
        <x:v>22090</x:v>
      </x:c>
      <x:c r="C2" s="31" t="n">
        <x:f>'2_Raw_Data'!S2</x:f>
        <x:v>22090</x:v>
      </x:c>
      <x:c r="D2" s="31" t="n">
        <x:f>B2-C2</x:f>
        <x:v>0</x:v>
      </x:c>
      <x:c r="E2" s="31" t="n">
        <x:f>SUM('2_Raw_Data'!D2:I2)</x:f>
        <x:v>23756</x:v>
      </x:c>
      <x:c r="F2" s="31" t="n">
        <x:f>'2_Raw_Data'!J2</x:f>
        <x:v>23756</x:v>
      </x:c>
      <x:c r="G2" s="31" t="n">
        <x:f>E2-F2</x:f>
        <x:v>0</x:v>
      </x:c>
      <x:c r="H2" s="31" t="n">
        <x:f>SUM('2_Raw_Data'!K2:P2)</x:f>
        <x:v>25972</x:v>
      </x:c>
      <x:c r="I2" s="31" t="n">
        <x:f>'2_Raw_Data'!Q2</x:f>
        <x:v>25972</x:v>
      </x:c>
      <x:c r="J2" s="31" t="n">
        <x:f>H2-I2</x:f>
        <x:v>0</x:v>
      </x:c>
      <x:c r="K2" s="31" t="n">
        <x:f>SUM('2_Raw_Data'!K2:N2)</x:f>
        <x:v>24410</x:v>
      </x:c>
      <x:c r="L2" s="31" t="n">
        <x:f>K2-'2_Raw_Data'!Y2</x:f>
        <x:v>20410</x:v>
      </x:c>
      <x:c r="M2" s="31" t="n">
        <x:f>B2-'2_Raw_Data'!Z2</x:f>
        <x:v>22090</x:v>
      </x:c>
      <x:c r="N2" s="28" t="n">
        <x:f>IF(W2&lt;12,"n.m.",IFERROR(B2/K2-1,"N/A"))</x:f>
        <x:v>-0.09504301515772229</x:v>
      </x:c>
      <x:c r="O2" s="28" t="n">
        <x:f>IF(W2&lt;12,"n.m.",IFERROR(M2/L2-1,"N/A"))</x:f>
        <x:v>0.08231259186673201</x:v>
      </x:c>
      <x:c r="P2" s="31" t="n">
        <x:f>IF(ISNUMBER(U2),C2/(U2/1000),"N/A")</x:f>
        <x:v>1084.4911384947716</x:v>
      </x:c>
      <x:c r="Q2" s="28" t="n">
        <x:f>IF(B2&gt;0,('2_Raw_Data'!E2+'2_Raw_Data'!F2)/B2,"N/A")</x:f>
        <x:v>0.5726573110004527</x:v>
      </x:c>
      <x:c r="R2" s="28" t="n">
        <x:f>IF(B2&gt;0,'2_Raw_Data'!G2/B2,"N/A")</x:f>
        <x:v>0.33680398370303305</x:v>
      </x:c>
      <x:c r="S2" s="28" t="str">
        <x:f>IF(ISNUMBER('2_Raw_Data'!T2),'2_Raw_Data'!T2,"N/A")</x:f>
        <x:v>N/A</x:v>
      </x:c>
      <x:c r="T2" s="28" t="n">
        <x:f>IF(ISNUMBER('2_Raw_Data'!X2),'2_Raw_Data'!X2,"N/A")</x:f>
        <x:v>0.9704999999999999</x:v>
      </x:c>
      <x:c r="U2" s="31" t="n">
        <x:f>'2_Raw_Data'!V2</x:f>
        <x:v>20369</x:v>
      </x:c>
      <x:c r="V2" s="10" t="n">
        <x:f>'2_Raw_Data'!W2</x:f>
        <x:v>20369</x:v>
      </x:c>
      <x:c r="W2" s="10" t="n">
        <x:f>'2_Raw_Data'!C2</x:f>
        <x:v>12</x:v>
      </x:c>
      <x:c r="X2" s="10" t="str">
        <x:f>'2_Raw_Data'!AA2</x:f>
        <x:v>Modifier on award value</x:v>
      </x:c>
      <x:c r="Y2" s="10" t="n">
        <x:f>'2_Raw_Data'!Y2</x:f>
        <x:v>4000</x:v>
      </x:c>
      <x:c r="Z2" s="10" t="n">
        <x:f>'2_Raw_Data'!Z2</x:f>
        <x:v>0</x:v>
      </x:c>
      <x:c r="AA2" s="28" t="n">
        <x:f>IF(ISNUMBER('2_Raw_Data'!AJ2),'2_Raw_Data'!AJ2,"N/A")</x:f>
        <x:v>1.86</x:v>
      </x:c>
      <x:c r="AB2" s="10" t="n">
        <x:f>IF(ISNUMBER('2_Raw_Data'!AI2),'2_Raw_Data'!AI2,"N/A")</x:f>
        <x:v>4000</x:v>
      </x:c>
      <x:c r="AC2" s="10" t="str">
        <x:f>IF(ABS(G2)&lt;=1,"PASS","CHECK")</x:f>
        <x:v>PASS</x:v>
      </x:c>
      <x:c r="AD2" s="10" t="str">
        <x:f>IF(ABS(J2)&lt;=1,"PASS","CHECK")</x:f>
        <x:v>PASS</x:v>
      </x:c>
      <x:c r="AE2" s="26" t="n">
        <x:f>IF(B2&gt;0,'2_Raw_Data'!D2/B2,"N/A")</x:f>
        <x:v>0.09053870529651425</x:v>
      </x:c>
      <x:c r="AF2" s="26" t="n">
        <x:f>IF(B2&gt;0,('2_Raw_Data'!E2+'2_Raw_Data'!F2)/B2,"N/A")</x:f>
        <x:v>0.5726573110004527</x:v>
      </x:c>
      <x:c r="AG2" s="26" t="n">
        <x:f>IF(B2&gt;0,(R2*B2+AF2*B2)/B2,"N/A")</x:f>
        <x:v>0.9094612947034857</x:v>
      </x:c>
    </x:row>
    <x:row r="3" ht="26" customHeight="1">
      <x:c r="A3" s="10" t="str">
        <x:f>'2_Raw_Data'!A3</x:f>
        <x:v>TD</x:v>
      </x:c>
      <x:c r="B3" s="31" t="n">
        <x:f>SUM('2_Raw_Data'!D3:G3)</x:f>
        <x:v>13676</x:v>
      </x:c>
      <x:c r="C3" s="31" t="n">
        <x:f>'2_Raw_Data'!S3</x:f>
        <x:v>13675</x:v>
      </x:c>
      <x:c r="D3" s="31" t="n">
        <x:f>B3-C3</x:f>
        <x:v>1</x:v>
      </x:c>
      <x:c r="E3" s="31" t="n">
        <x:f>SUM('2_Raw_Data'!D3:I3)</x:f>
        <x:v>14574</x:v>
      </x:c>
      <x:c r="F3" s="31" t="n">
        <x:f>'2_Raw_Data'!J3</x:f>
        <x:v>14574</x:v>
      </x:c>
      <x:c r="G3" s="31" t="n">
        <x:f>E3-F3</x:f>
        <x:v>0</x:v>
      </x:c>
      <x:c r="H3" s="31" t="n">
        <x:f>SUM('2_Raw_Data'!K3:P3)</x:f>
        <x:v>4283</x:v>
      </x:c>
      <x:c r="I3" s="31" t="n">
        <x:f>'2_Raw_Data'!Q3</x:f>
        <x:v>4282</x:v>
      </x:c>
      <x:c r="J3" s="31" t="n">
        <x:f>H3-I3</x:f>
        <x:v>1</x:v>
      </x:c>
      <x:c r="K3" s="31" t="n">
        <x:f>SUM('2_Raw_Data'!K3:N3)</x:f>
        <x:v>4113</x:v>
      </x:c>
      <x:c r="L3" s="31" t="n">
        <x:f>K3-'2_Raw_Data'!Y3</x:f>
        <x:v>4113</x:v>
      </x:c>
      <x:c r="M3" s="31" t="n">
        <x:f>B3-'2_Raw_Data'!Z3</x:f>
        <x:v>13676</x:v>
      </x:c>
      <x:c r="N3" s="28" t="str">
        <x:f>IF(W3&lt;12,"n.m.",IFERROR(B3/K3-1,"N/A"))</x:f>
        <x:v>n.m.</x:v>
      </x:c>
      <x:c r="O3" s="28" t="str">
        <x:f>IF(W3&lt;12,"n.m.",IFERROR(M3/L3-1,"N/A"))</x:f>
        <x:v>n.m.</x:v>
      </x:c>
      <x:c r="P3" s="31" t="n">
        <x:f>IF(ISNUMBER(U3),C3/(U3/1000),"N/A")</x:f>
        <x:v>910.1497504159734</x:v>
      </x:c>
      <x:c r="Q3" s="28" t="n">
        <x:f>IF(B3&gt;0,('2_Raw_Data'!E3+'2_Raw_Data'!F3)/B3,"N/A")</x:f>
        <x:v>0.7235302720093595</x:v>
      </x:c>
      <x:c r="R3" s="28" t="n">
        <x:f>IF(B3&gt;0,'2_Raw_Data'!G3/B3,"N/A")</x:f>
        <x:v>0.19230769230769232</x:v>
      </x:c>
      <x:c r="S3" s="28" t="n">
        <x:f>IF(ISNUMBER('2_Raw_Data'!T3),'2_Raw_Data'!T3,"N/A")</x:f>
        <x:v>1.225</x:v>
      </x:c>
      <x:c r="T3" s="28" t="n">
        <x:f>IF(ISNUMBER('2_Raw_Data'!X3),'2_Raw_Data'!X3,"N/A")</x:f>
        <x:v>0.95</x:v>
      </x:c>
      <x:c r="U3" s="31" t="n">
        <x:f>'2_Raw_Data'!V3</x:f>
        <x:v>15025</x:v>
      </x:c>
      <x:c r="V3" s="10" t="n">
        <x:f>'2_Raw_Data'!W3</x:f>
        <x:v>20538</x:v>
      </x:c>
      <x:c r="W3" s="10" t="n">
        <x:f>'2_Raw_Data'!C3</x:f>
        <x:v>9</x:v>
      </x:c>
      <x:c r="X3" s="10" t="str">
        <x:f>'2_Raw_Data'!AA3</x:f>
        <x:v>Modifier on award value</x:v>
      </x:c>
      <x:c r="Y3" s="10" t="n">
        <x:f>'2_Raw_Data'!Y3</x:f>
        <x:v>0</x:v>
      </x:c>
      <x:c r="Z3" s="10" t="n">
        <x:f>'2_Raw_Data'!Z3</x:f>
        <x:v>0</x:v>
      </x:c>
      <x:c r="AA3" s="28" t="str">
        <x:f>IF(ISNUMBER('2_Raw_Data'!AJ3),'2_Raw_Data'!AJ3,"N/A")</x:f>
        <x:v>N/A</x:v>
      </x:c>
      <x:c r="AB3" s="10" t="str">
        <x:f>IF(ISNUMBER('2_Raw_Data'!AI3),'2_Raw_Data'!AI3,"N/A")</x:f>
        <x:v>N/A</x:v>
      </x:c>
      <x:c r="AC3" s="10" t="str">
        <x:f>IF(ABS(G3)&lt;=1,"PASS","CHECK")</x:f>
        <x:v>PASS</x:v>
      </x:c>
      <x:c r="AD3" s="10" t="str">
        <x:f>IF(ABS(J3)&lt;=1,"PASS","CHECK")</x:f>
        <x:v>PASS</x:v>
      </x:c>
      <x:c r="AE3" s="26" t="n">
        <x:f>IF(B3&gt;0,'2_Raw_Data'!D3/B3,"N/A")</x:f>
        <x:v>0.08416203568294824</x:v>
      </x:c>
      <x:c r="AF3" s="26" t="n">
        <x:f>IF(B3&gt;0,('2_Raw_Data'!E3+'2_Raw_Data'!F3)/B3,"N/A")</x:f>
        <x:v>0.7235302720093595</x:v>
      </x:c>
      <x:c r="AG3" s="26" t="n">
        <x:f>IF(B3&gt;0,(R3*B3+AF3*B3)/B3,"N/A")</x:f>
        <x:v>0.9158379643170518</x:v>
      </x:c>
    </x:row>
    <x:row r="4" ht="26" customHeight="1">
      <x:c r="A4" s="10" t="str">
        <x:f>'2_Raw_Data'!A4</x:f>
        <x:v>BNS</x:v>
      </x:c>
      <x:c r="B4" s="31" t="n">
        <x:f>SUM('2_Raw_Data'!D4:G4)</x:f>
        <x:v>12580</x:v>
      </x:c>
      <x:c r="C4" s="31" t="n">
        <x:f>'2_Raw_Data'!S4</x:f>
        <x:v>12580</x:v>
      </x:c>
      <x:c r="D4" s="31" t="n">
        <x:f>B4-C4</x:f>
        <x:v>0</x:v>
      </x:c>
      <x:c r="E4" s="31" t="n">
        <x:f>SUM('2_Raw_Data'!D4:I4)</x:f>
        <x:v>13242</x:v>
      </x:c>
      <x:c r="F4" s="31" t="n">
        <x:f>'2_Raw_Data'!J4</x:f>
        <x:v>13242</x:v>
      </x:c>
      <x:c r="G4" s="31" t="n">
        <x:f>E4-F4</x:f>
        <x:v>0</x:v>
      </x:c>
      <x:c r="H4" s="31" t="n">
        <x:f>SUM('2_Raw_Data'!K4:P4)</x:f>
        <x:v>10317</x:v>
      </x:c>
      <x:c r="I4" s="31" t="n">
        <x:f>'2_Raw_Data'!Q4</x:f>
        <x:v>10317</x:v>
      </x:c>
      <x:c r="J4" s="31" t="n">
        <x:f>H4-I4</x:f>
        <x:v>0</x:v>
      </x:c>
      <x:c r="K4" s="31" t="n">
        <x:f>SUM('2_Raw_Data'!K4:N4)</x:f>
        <x:v>9760</x:v>
      </x:c>
      <x:c r="L4" s="31" t="n">
        <x:f>K4-'2_Raw_Data'!Y4</x:f>
        <x:v>9760</x:v>
      </x:c>
      <x:c r="M4" s="31" t="n">
        <x:f>B4-'2_Raw_Data'!Z4</x:f>
        <x:v>12580</x:v>
      </x:c>
      <x:c r="N4" s="28" t="n">
        <x:f>IF(W4&lt;12,"n.m.",IFERROR(B4/K4-1,"N/A"))</x:f>
        <x:v>0.28893442622950816</x:v>
      </x:c>
      <x:c r="O4" s="28" t="n">
        <x:f>IF(W4&lt;12,"n.m.",IFERROR(M4/L4-1,"N/A"))</x:f>
        <x:v>0.28893442622950816</x:v>
      </x:c>
      <x:c r="P4" s="31" t="n">
        <x:f>IF(ISNUMBER(U4),C4/(U4/1000),"N/A")</x:f>
        <x:v>1322.8180862250263</x:v>
      </x:c>
      <x:c r="Q4" s="28" t="n">
        <x:f>IF(B4&gt;0,('2_Raw_Data'!E4+'2_Raw_Data'!F4)/B4,"N/A")</x:f>
        <x:v>0.6844197138314785</x:v>
      </x:c>
      <x:c r="R4" s="28" t="n">
        <x:f>IF(B4&gt;0,'2_Raw_Data'!G4/B4,"N/A")</x:f>
        <x:v>0.22813990461049286</x:v>
      </x:c>
      <x:c r="S4" s="28" t="n">
        <x:f>IF(ISNUMBER('2_Raw_Data'!T4),'2_Raw_Data'!T4,"N/A")</x:f>
        <x:v>1.03</x:v>
      </x:c>
      <x:c r="T4" s="28" t="n">
        <x:f>IF(ISNUMBER('2_Raw_Data'!X4),'2_Raw_Data'!X4,"N/A")</x:f>
        <x:v>0.9589</x:v>
      </x:c>
      <x:c r="U4" s="31" t="n">
        <x:f>'2_Raw_Data'!V4</x:f>
        <x:v>9510</x:v>
      </x:c>
      <x:c r="V4" s="10" t="n">
        <x:f>'2_Raw_Data'!W4</x:f>
        <x:v>7758</x:v>
      </x:c>
      <x:c r="W4" s="10" t="n">
        <x:f>'2_Raw_Data'!C4</x:f>
        <x:v>12</x:v>
      </x:c>
      <x:c r="X4" s="10" t="str">
        <x:f>'2_Raw_Data'!AA4</x:f>
        <x:v>Threshold-to-maximum range</x:v>
      </x:c>
      <x:c r="Y4" s="10" t="n">
        <x:f>'2_Raw_Data'!Y4</x:f>
        <x:v>0</x:v>
      </x:c>
      <x:c r="Z4" s="10" t="n">
        <x:f>'2_Raw_Data'!Z4</x:f>
        <x:v>0</x:v>
      </x:c>
      <x:c r="AA4" s="28" t="n">
        <x:f>IF(ISNUMBER('2_Raw_Data'!AJ4),'2_Raw_Data'!AJ4,"N/A")</x:f>
        <x:v>1.104</x:v>
      </x:c>
      <x:c r="AB4" s="10" t="n">
        <x:f>IF(ISNUMBER('2_Raw_Data'!AI4),'2_Raw_Data'!AI4,"N/A")</x:f>
        <x:v>2600</x:v>
      </x:c>
      <x:c r="AC4" s="10" t="str">
        <x:f>IF(ABS(G4)&lt;=1,"PASS","CHECK")</x:f>
        <x:v>PASS</x:v>
      </x:c>
      <x:c r="AD4" s="10" t="str">
        <x:f>IF(ABS(J4)&lt;=1,"PASS","CHECK")</x:f>
        <x:v>PASS</x:v>
      </x:c>
      <x:c r="AE4" s="26" t="n">
        <x:f>IF(B4&gt;0,'2_Raw_Data'!D4/B4,"N/A")</x:f>
        <x:v>0.08744038155802862</x:v>
      </x:c>
      <x:c r="AF4" s="26" t="n">
        <x:f>IF(B4&gt;0,('2_Raw_Data'!E4+'2_Raw_Data'!F4)/B4,"N/A")</x:f>
        <x:v>0.6844197138314785</x:v>
      </x:c>
      <x:c r="AG4" s="26" t="n">
        <x:f>IF(B4&gt;0,(R4*B4+AF4*B4)/B4,"N/A")</x:f>
        <x:v>0.9125596184419714</x:v>
      </x:c>
    </x:row>
    <x:row r="5" ht="26" customHeight="1">
      <x:c r="A5" s="10" t="str">
        <x:f>'2_Raw_Data'!A5</x:f>
        <x:v>BMO</x:v>
      </x:c>
      <x:c r="B5" s="31" t="n">
        <x:f>SUM('2_Raw_Data'!D5:G5)</x:f>
        <x:v>15445</x:v>
      </x:c>
      <x:c r="C5" s="31" t="n">
        <x:f>'2_Raw_Data'!S5</x:f>
        <x:v>15445</x:v>
      </x:c>
      <x:c r="D5" s="31" t="n">
        <x:f>B5-C5</x:f>
        <x:v>0</x:v>
      </x:c>
      <x:c r="E5" s="31" t="n">
        <x:f>SUM('2_Raw_Data'!D5:I5)</x:f>
        <x:v>17043</x:v>
      </x:c>
      <x:c r="F5" s="31" t="n">
        <x:f>'2_Raw_Data'!J5</x:f>
        <x:v>17042</x:v>
      </x:c>
      <x:c r="G5" s="31" t="n">
        <x:f>E5-F5</x:f>
        <x:v>1</x:v>
      </x:c>
      <x:c r="H5" s="31" t="n">
        <x:f>SUM('2_Raw_Data'!K5:P5)</x:f>
        <x:v>10969</x:v>
      </x:c>
      <x:c r="I5" s="31" t="n">
        <x:f>'2_Raw_Data'!Q5</x:f>
        <x:v>10969</x:v>
      </x:c>
      <x:c r="J5" s="31" t="n">
        <x:f>H5-I5</x:f>
        <x:v>0</x:v>
      </x:c>
      <x:c r="K5" s="31" t="n">
        <x:f>SUM('2_Raw_Data'!K5:N5)</x:f>
        <x:v>9620</x:v>
      </x:c>
      <x:c r="L5" s="31" t="n">
        <x:f>K5-'2_Raw_Data'!Y5</x:f>
        <x:v>9620</x:v>
      </x:c>
      <x:c r="M5" s="31" t="n">
        <x:f>B5-'2_Raw_Data'!Z5</x:f>
        <x:v>15445</x:v>
      </x:c>
      <x:c r="N5" s="28" t="n">
        <x:f>IF(W5&lt;12,"n.m.",IFERROR(B5/K5-1,"N/A"))</x:f>
        <x:v>0.6055093555093556</x:v>
      </x:c>
      <x:c r="O5" s="28" t="n">
        <x:f>IF(W5&lt;12,"n.m.",IFERROR(M5/L5-1,"N/A"))</x:f>
        <x:v>0.6055093555093556</x:v>
      </x:c>
      <x:c r="P5" s="31" t="n">
        <x:f>IF(ISNUMBER(U5),C5/(U5/1000),"N/A")</x:f>
        <x:v>1670.090830449827</x:v>
      </x:c>
      <x:c r="Q5" s="28" t="n">
        <x:f>IF(B5&gt;0,('2_Raw_Data'!E5+'2_Raw_Data'!F5)/B5,"N/A")</x:f>
        <x:v>0.6931693104564584</x:v>
      </x:c>
      <x:c r="R5" s="28" t="n">
        <x:f>IF(B5&gt;0,'2_Raw_Data'!G5/B5,"N/A")</x:f>
        <x:v>0.22913564260278407</x:v>
      </x:c>
      <x:c r="S5" s="28" t="n">
        <x:f>IF(ISNUMBER('2_Raw_Data'!T5),'2_Raw_Data'!T5,"N/A")</x:f>
        <x:v>1.17</x:v>
      </x:c>
      <x:c r="T5" s="28" t="n">
        <x:f>IF(ISNUMBER('2_Raw_Data'!X5),'2_Raw_Data'!X5,"N/A")</x:f>
        <x:v>0.9634</x:v>
      </x:c>
      <x:c r="U5" s="31" t="n">
        <x:f>'2_Raw_Data'!V5</x:f>
        <x:v>9248</x:v>
      </x:c>
      <x:c r="V5" s="10" t="n">
        <x:f>'2_Raw_Data'!W5</x:f>
        <x:v>8725</x:v>
      </x:c>
      <x:c r="W5" s="10" t="n">
        <x:f>'2_Raw_Data'!C5</x:f>
        <x:v>12</x:v>
      </x:c>
      <x:c r="X5" s="10" t="str">
        <x:f>'2_Raw_Data'!AA5</x:f>
        <x:v>Modifier on award value</x:v>
      </x:c>
      <x:c r="Y5" s="10" t="n">
        <x:f>'2_Raw_Data'!Y5</x:f>
        <x:v>0</x:v>
      </x:c>
      <x:c r="Z5" s="10" t="n">
        <x:f>'2_Raw_Data'!Z5</x:f>
        <x:v>0</x:v>
      </x:c>
      <x:c r="AA5" s="28" t="n">
        <x:f>IF(ISNUMBER('2_Raw_Data'!AJ5),'2_Raw_Data'!AJ5,"N/A")</x:f>
        <x:v>1.163</x:v>
      </x:c>
      <x:c r="AB5" s="10" t="n">
        <x:f>IF(ISNUMBER('2_Raw_Data'!AI5),'2_Raw_Data'!AI5,"N/A")</x:f>
        <x:v>3043.75</x:v>
      </x:c>
      <x:c r="AC5" s="10" t="str">
        <x:f>IF(ABS(G5)&lt;=1,"PASS","CHECK")</x:f>
        <x:v>PASS</x:v>
      </x:c>
      <x:c r="AD5" s="10" t="str">
        <x:f>IF(ABS(J5)&lt;=1,"PASS","CHECK")</x:f>
        <x:v>PASS</x:v>
      </x:c>
      <x:c r="AE5" s="26" t="n">
        <x:f>IF(B5&gt;0,'2_Raw_Data'!D5/B5,"N/A")</x:f>
        <x:v>0.07769504694075753</x:v>
      </x:c>
      <x:c r="AF5" s="26" t="n">
        <x:f>IF(B5&gt;0,('2_Raw_Data'!E5+'2_Raw_Data'!F5)/B5,"N/A")</x:f>
        <x:v>0.6931693104564584</x:v>
      </x:c>
      <x:c r="AG5" s="26" t="n">
        <x:f>IF(B5&gt;0,(R5*B5+AF5*B5)/B5,"N/A")</x:f>
        <x:v>0.9223049530592424</x:v>
      </x:c>
    </x:row>
    <x:row r="6" ht="26" customHeight="1">
      <x:c r="A6" s="10" t="str">
        <x:f>'2_Raw_Data'!A6</x:f>
        <x:v>NA</x:v>
      </x:c>
      <x:c r="B6" s="31" t="n">
        <x:f>SUM('2_Raw_Data'!D6:G6)</x:f>
        <x:v>12651</x:v>
      </x:c>
      <x:c r="C6" s="31" t="n">
        <x:f>'2_Raw_Data'!S6</x:f>
        <x:v>12650</x:v>
      </x:c>
      <x:c r="D6" s="31" t="n">
        <x:f>B6-C6</x:f>
        <x:v>1</x:v>
      </x:c>
      <x:c r="E6" s="31" t="n">
        <x:f>SUM('2_Raw_Data'!D6:I6)</x:f>
        <x:v>13446</x:v>
      </x:c>
      <x:c r="F6" s="31" t="n">
        <x:f>'2_Raw_Data'!J6</x:f>
        <x:v>13445</x:v>
      </x:c>
      <x:c r="G6" s="31" t="n">
        <x:f>E6-F6</x:f>
        <x:v>1</x:v>
      </x:c>
      <x:c r="H6" s="31" t="n">
        <x:f>SUM('2_Raw_Data'!K6:P6)</x:f>
        <x:v>12075</x:v>
      </x:c>
      <x:c r="I6" s="31" t="n">
        <x:f>'2_Raw_Data'!Q6</x:f>
        <x:v>12074</x:v>
      </x:c>
      <x:c r="J6" s="31" t="n">
        <x:f>H6-I6</x:f>
        <x:v>1</x:v>
      </x:c>
      <x:c r="K6" s="31" t="n">
        <x:f>SUM('2_Raw_Data'!K6:N6)</x:f>
        <x:v>11426</x:v>
      </x:c>
      <x:c r="L6" s="31" t="n">
        <x:f>K6-'2_Raw_Data'!Y6</x:f>
        <x:v>11426</x:v>
      </x:c>
      <x:c r="M6" s="31" t="n">
        <x:f>B6-'2_Raw_Data'!Z6</x:f>
        <x:v>12651</x:v>
      </x:c>
      <x:c r="N6" s="28" t="n">
        <x:f>IF(W6&lt;12,"n.m.",IFERROR(B6/K6-1,"N/A"))</x:f>
        <x:v>0.10721162261508832</x:v>
      </x:c>
      <x:c r="O6" s="28" t="n">
        <x:f>IF(W6&lt;12,"n.m.",IFERROR(M6/L6-1,"N/A"))</x:f>
        <x:v>0.10721162261508832</x:v>
      </x:c>
      <x:c r="P6" s="31" t="n">
        <x:f>IF(ISNUMBER(U6),C6/(U6/1000),"N/A")</x:f>
        <x:v>2932.3133982382938</x:v>
      </x:c>
      <x:c r="Q6" s="28" t="n">
        <x:f>IF(B6&gt;0,('2_Raw_Data'!E6+'2_Raw_Data'!F6)/B6,"N/A")</x:f>
        <x:v>0.7296656390799147</x:v>
      </x:c>
      <x:c r="R6" s="28" t="n">
        <x:f>IF(B6&gt;0,'2_Raw_Data'!G6/B6,"N/A")</x:f>
        <x:v>0.18243617105367166</x:v>
      </x:c>
      <x:c r="S6" s="28" t="n">
        <x:f>IF(ISNUMBER('2_Raw_Data'!T6),'2_Raw_Data'!T6,"N/A")</x:f>
        <x:v>1.055</x:v>
      </x:c>
      <x:c r="T6" s="28" t="n">
        <x:f>IF(ISNUMBER('2_Raw_Data'!X6),'2_Raw_Data'!X6,"N/A")</x:f>
        <x:v>0.9586</x:v>
      </x:c>
      <x:c r="U6" s="31" t="n">
        <x:f>'2_Raw_Data'!V6</x:f>
        <x:v>4314</x:v>
      </x:c>
      <x:c r="V6" s="10" t="n">
        <x:f>'2_Raw_Data'!W6</x:f>
        <x:v>3852</x:v>
      </x:c>
      <x:c r="W6" s="10" t="n">
        <x:f>'2_Raw_Data'!C6</x:f>
        <x:v>12</x:v>
      </x:c>
      <x:c r="X6" s="10" t="str">
        <x:f>'2_Raw_Data'!AA6</x:f>
        <x:v>Threshold-to-maximum range</x:v>
      </x:c>
      <x:c r="Y6" s="10" t="n">
        <x:f>'2_Raw_Data'!Y6</x:f>
        <x:v>0</x:v>
      </x:c>
      <x:c r="Z6" s="10" t="n">
        <x:f>'2_Raw_Data'!Z6</x:f>
        <x:v>0</x:v>
      </x:c>
      <x:c r="AA6" s="28" t="str">
        <x:f>IF(ISNUMBER('2_Raw_Data'!AJ6),'2_Raw_Data'!AJ6,"N/A")</x:f>
        <x:v>N/A</x:v>
      </x:c>
      <x:c r="AB6" s="10" t="str">
        <x:f>IF(ISNUMBER('2_Raw_Data'!AI6),'2_Raw_Data'!AI6,"N/A")</x:f>
        <x:v>N/A</x:v>
      </x:c>
      <x:c r="AC6" s="10" t="str">
        <x:f>IF(ABS(G6)&lt;=1,"PASS","CHECK")</x:f>
        <x:v>PASS</x:v>
      </x:c>
      <x:c r="AD6" s="10" t="str">
        <x:f>IF(ABS(J6)&lt;=1,"PASS","CHECK")</x:f>
        <x:v>PASS</x:v>
      </x:c>
      <x:c r="AE6" s="26" t="n">
        <x:f>IF(B6&gt;0,'2_Raw_Data'!D6/B6,"N/A")</x:f>
        <x:v>0.08789818986641372</x:v>
      </x:c>
      <x:c r="AF6" s="26" t="n">
        <x:f>IF(B6&gt;0,('2_Raw_Data'!E6+'2_Raw_Data'!F6)/B6,"N/A")</x:f>
        <x:v>0.7296656390799147</x:v>
      </x:c>
      <x:c r="AG6" s="26" t="n">
        <x:f>IF(B6&gt;0,(R6*B6+AF6*B6)/B6,"N/A")</x:f>
        <x:v>0.9121018101335863</x:v>
      </x:c>
    </x:row>
    <x:row r="7" ht="26" customHeight="1">
      <x:c r="A7" s="10" t="str">
        <x:f>'2_Raw_Data'!A7</x:f>
        <x:v>CM</x:v>
      </x:c>
      <x:c r="B7" s="31" t="n">
        <x:f>SUM('2_Raw_Data'!D7:G7)</x:f>
        <x:v>16594</x:v>
      </x:c>
      <x:c r="C7" s="31" t="n">
        <x:f>'2_Raw_Data'!S7</x:f>
        <x:v>16594</x:v>
      </x:c>
      <x:c r="D7" s="31" t="n">
        <x:f>B7-C7</x:f>
        <x:v>0</x:v>
      </x:c>
      <x:c r="E7" s="31" t="n">
        <x:f>SUM('2_Raw_Data'!D7:I7)</x:f>
        <x:v>17178</x:v>
      </x:c>
      <x:c r="F7" s="31" t="n">
        <x:f>'2_Raw_Data'!J7</x:f>
        <x:v>17178</x:v>
      </x:c>
      <x:c r="G7" s="31" t="n">
        <x:f>E7-F7</x:f>
        <x:v>0</x:v>
      </x:c>
      <x:c r="H7" s="31" t="n">
        <x:f>SUM('2_Raw_Data'!K7:P7)</x:f>
        <x:v>13607</x:v>
      </x:c>
      <x:c r="I7" s="31" t="n">
        <x:f>'2_Raw_Data'!Q7</x:f>
        <x:v>13608</x:v>
      </x:c>
      <x:c r="J7" s="31" t="n">
        <x:f>H7-I7</x:f>
        <x:v>-1</x:v>
      </x:c>
      <x:c r="K7" s="31" t="n">
        <x:f>SUM('2_Raw_Data'!K7:N7)</x:f>
        <x:v>13095</x:v>
      </x:c>
      <x:c r="L7" s="31" t="n">
        <x:f>K7-'2_Raw_Data'!Y7</x:f>
        <x:v>13095</x:v>
      </x:c>
      <x:c r="M7" s="31" t="n">
        <x:f>B7-'2_Raw_Data'!Z7</x:f>
        <x:v>16594</x:v>
      </x:c>
      <x:c r="N7" s="28" t="n">
        <x:f>IF(W7&lt;12,"n.m.",IFERROR(B7/K7-1,"N/A"))</x:f>
        <x:v>0.2672012218403972</x:v>
      </x:c>
      <x:c r="O7" s="28" t="n">
        <x:f>IF(W7&lt;12,"n.m.",IFERROR(M7/L7-1,"N/A"))</x:f>
        <x:v>0.2672012218403972</x:v>
      </x:c>
      <x:c r="P7" s="31" t="n">
        <x:f>IF(ISNUMBER(U7),C7/(U7/1000),"N/A")</x:f>
        <x:v>1955.2256392129138</x:v>
      </x:c>
      <x:c r="Q7" s="28" t="n">
        <x:f>IF(B7&gt;0,('2_Raw_Data'!E7+'2_Raw_Data'!F7)/B7,"N/A")</x:f>
        <x:v>0.7517777509943353</x:v>
      </x:c>
      <x:c r="R7" s="28" t="n">
        <x:f>IF(B7&gt;0,'2_Raw_Data'!G7/B7,"N/A")</x:f>
        <x:v>0.1879595034349765</x:v>
      </x:c>
      <x:c r="S7" s="28" t="n">
        <x:f>IF(ISNUMBER('2_Raw_Data'!T7),'2_Raw_Data'!T7,"N/A")</x:f>
        <x:v>1.15</x:v>
      </x:c>
      <x:c r="T7" s="28" t="n">
        <x:f>IF(ISNUMBER('2_Raw_Data'!X7),'2_Raw_Data'!X7,"N/A")</x:f>
        <x:v>0.9559000000000001</x:v>
      </x:c>
      <x:c r="U7" s="31" t="n">
        <x:f>'2_Raw_Data'!V7</x:f>
        <x:v>8487</x:v>
      </x:c>
      <x:c r="V7" s="10" t="n">
        <x:f>'2_Raw_Data'!W7</x:f>
        <x:v>8454</x:v>
      </x:c>
      <x:c r="W7" s="10" t="n">
        <x:f>'2_Raw_Data'!C7</x:f>
        <x:v>12</x:v>
      </x:c>
      <x:c r="X7" s="10" t="str">
        <x:f>'2_Raw_Data'!AA7</x:f>
        <x:v>Threshold-to-maximum range</x:v>
      </x:c>
      <x:c r="Y7" s="10" t="n">
        <x:f>'2_Raw_Data'!Y7</x:f>
        <x:v>0</x:v>
      </x:c>
      <x:c r="Z7" s="10" t="n">
        <x:f>'2_Raw_Data'!Z7</x:f>
        <x:v>0</x:v>
      </x:c>
      <x:c r="AA7" s="28" t="n">
        <x:f>IF(ISNUMBER('2_Raw_Data'!AJ7),'2_Raw_Data'!AJ7,"N/A")</x:f>
        <x:v>1.3</x:v>
      </x:c>
      <x:c r="AB7" s="10" t="n">
        <x:f>IF(ISNUMBER('2_Raw_Data'!AI7),'2_Raw_Data'!AI7,"N/A")</x:f>
        <x:v>2400</x:v>
      </x:c>
      <x:c r="AC7" s="10" t="str">
        <x:f>IF(ABS(G7)&lt;=1,"PASS","CHECK")</x:f>
        <x:v>PASS</x:v>
      </x:c>
      <x:c r="AD7" s="10" t="str">
        <x:f>IF(ABS(J7)&lt;=1,"PASS","CHECK")</x:f>
        <x:v>PASS</x:v>
      </x:c>
      <x:c r="AE7" s="26" t="n">
        <x:f>IF(B7&gt;0,'2_Raw_Data'!D7/B7,"N/A")</x:f>
        <x:v>0.0602627455706882</x:v>
      </x:c>
      <x:c r="AF7" s="26" t="n">
        <x:f>IF(B7&gt;0,('2_Raw_Data'!E7+'2_Raw_Data'!F7)/B7,"N/A")</x:f>
        <x:v>0.7517777509943353</x:v>
      </x:c>
      <x:c r="AG7" s="26" t="n">
        <x:f>IF(B7&gt;0,(R7*B7+AF7*B7)/B7,"N/A")</x:f>
        <x:v>0.9397372544293118</x:v>
      </x:c>
    </x:row>
    <x:row r="8">
      <x:c r="N8" s="26"/>
      <x:c r="O8" s="26"/>
      <x:c r="Q8" s="26"/>
      <x:c r="R8" s="26"/>
      <x:c r="S8" s="26"/>
      <x:c r="T8" s="26"/>
      <x:c r="AA8" s="26"/>
      <x:c r="AE8" s="26"/>
      <x:c r="AF8" s="26"/>
      <x:c r="AG8" s="26"/>
    </x:row>
    <x:row r="9">
      <x:c r="N9" s="26"/>
      <x:c r="O9" s="26"/>
      <x:c r="Q9" s="26"/>
      <x:c r="R9" s="26"/>
      <x:c r="S9" s="26"/>
      <x:c r="T9" s="26"/>
      <x:c r="AA9" s="26"/>
      <x:c r="AE9" s="26"/>
      <x:c r="AF9" s="26"/>
      <x:c r="AG9" s="26"/>
    </x:row>
    <x:row r="10">
      <x:c r="N10" s="26"/>
      <x:c r="O10" s="26"/>
      <x:c r="Q10" s="26"/>
      <x:c r="R10" s="26"/>
      <x:c r="S10" s="26"/>
      <x:c r="T10" s="26"/>
      <x:c r="AA10" s="26"/>
      <x:c r="AE10" s="26"/>
      <x:c r="AF10" s="26"/>
      <x:c r="AG10" s="26"/>
    </x:row>
    <x:row r="11">
      <x:c r="N11" s="26"/>
      <x:c r="O11" s="26"/>
      <x:c r="Q11" s="26"/>
      <x:c r="R11" s="26"/>
      <x:c r="S11" s="26"/>
      <x:c r="T11" s="26"/>
      <x:c r="AA11" s="26"/>
      <x:c r="AE11" s="26"/>
      <x:c r="AF11" s="26"/>
      <x:c r="AG11" s="26"/>
    </x:row>
    <x:row r="12">
      <x:c r="N12" s="26"/>
      <x:c r="O12" s="26"/>
      <x:c r="Q12" s="26"/>
      <x:c r="R12" s="26"/>
      <x:c r="S12" s="26"/>
      <x:c r="T12" s="26"/>
      <x:c r="AA12" s="26"/>
      <x:c r="AE12" s="26"/>
      <x:c r="AF12" s="26"/>
      <x:c r="AG12" s="26"/>
    </x:row>
  </x:sheetData>
  <x:autoFilter ref="A1:AG7"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  <x:col min="40" max="40" width="25" hidden="0" customWidth="1"/>
  </x:cols>
  <x:sheetData>
    <x:row r="1" ht="32" customHeight="1">
      <x:c r="A1" s="22" t="str">
        <x:v>Bank</x:v>
      </x:c>
      <x:c r="B1" s="22" t="str">
        <x:v>CEO</x:v>
      </x:c>
      <x:c r="C1" s="22" t="str">
        <x:v>Salary $000</x:v>
      </x:c>
      <x:c r="D1" s="22" t="str">
        <x:v>STI $000</x:v>
      </x:c>
      <x:c r="E1" s="22" t="str">
        <x:v>Shares $000</x:v>
      </x:c>
      <x:c r="F1" s="22" t="str">
        <x:v>Options $000</x:v>
      </x:c>
      <x:c r="G1" s="22" t="str">
        <x:v>Actual TDC $000</x:v>
      </x:c>
      <x:c r="H1" s="22" t="str">
        <x:v>Final BPF %</x:v>
      </x:c>
      <x:c r="I1" s="22" t="str">
        <x:v>Adjusted NI $M</x:v>
      </x:c>
      <x:c r="J1" s="22" t="str">
        <x:v>Say on Pay %</x:v>
      </x:c>
      <x:c r="K1" s="22" t="str">
        <x:v>PSU design</x:v>
      </x:c>
      <x:c r="L1" s="22" t="str">
        <x:v>CEO TDC per $1B adj NI ($000)</x:v>
      </x:c>
      <x:c r="M1" s="22" t="str">
        <x:v>YoY reported %</x:v>
      </x:c>
      <x:c r="N1" s="22" t="str">
        <x:v>YoY ex-special %</x:v>
      </x:c>
      <x:c r="O1" s="22" t="str">
        <x:v>CEO months</x:v>
      </x:c>
      <x:c r="P1" s="22" t="str">
        <x:v>TDC rank</x:v>
      </x:c>
      <x:c r="Q1" s="22" t="str">
        <x:v>NI rank</x:v>
      </x:c>
      <x:c r="R1" s="22" t="str">
        <x:v>STI / TDC %</x:v>
      </x:c>
      <x:c r="S1" s="22" t="str">
        <x:v>LTI / TDC %</x:v>
      </x:c>
      <x:c r="T1" s="22" t="str">
        <x:v>Salary / TDC %</x:v>
      </x:c>
      <x:c r="U1" s="22" t="str">
        <x:v>At-risk / TDC %</x:v>
      </x:c>
      <x:c r="V1" s="22" t="str">
        <x:v>LTI $000</x:v>
      </x:c>
      <x:c r="W1" s="22" t="str">
        <x:v>Actual TDC percentile rank</x:v>
      </x:c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</x:row>
    <x:row r="2" ht="26" customHeight="1">
      <x:c r="A2" s="10" t="str">
        <x:f>'2_Raw_Data'!A2</x:f>
        <x:v>RY</x:v>
      </x:c>
      <x:c r="B2" s="10" t="str">
        <x:f>'2_Raw_Data'!B2</x:f>
        <x:v>Dave McKay</x:v>
      </x:c>
      <x:c r="C2" s="31" t="n">
        <x:f>'2_Raw_Data'!D2</x:f>
        <x:v>2000</x:v>
      </x:c>
      <x:c r="D2" s="31" t="n">
        <x:f>'2_Raw_Data'!G2</x:f>
        <x:v>7440</x:v>
      </x:c>
      <x:c r="E2" s="31" t="n">
        <x:f>'2_Raw_Data'!E2</x:f>
        <x:v>10120</x:v>
      </x:c>
      <x:c r="F2" s="31" t="n">
        <x:f>'2_Raw_Data'!F2</x:f>
        <x:v>2530</x:v>
      </x:c>
      <x:c r="G2" s="31" t="n">
        <x:f>'3_Calc'!C2</x:f>
        <x:v>22090</x:v>
      </x:c>
      <x:c r="H2" s="28" t="str">
        <x:f>'3_Calc'!S2</x:f>
        <x:v>N/A</x:v>
      </x:c>
      <x:c r="I2" s="31" t="n">
        <x:f>'3_Calc'!U2</x:f>
        <x:v>20369</x:v>
      </x:c>
      <x:c r="J2" s="28" t="n">
        <x:f>'3_Calc'!T2</x:f>
        <x:v>0.9704999999999999</x:v>
      </x:c>
      <x:c r="K2" s="10" t="str">
        <x:f>'3_Calc'!X2</x:f>
        <x:v>Modifier on award value</x:v>
      </x:c>
      <x:c r="L2" s="31" t="n">
        <x:f>'3_Calc'!P2</x:f>
        <x:v>1084.4911384947716</x:v>
      </x:c>
      <x:c r="M2" s="28" t="n">
        <x:f>'3_Calc'!N2</x:f>
        <x:v>-0.09504301515772229</x:v>
      </x:c>
      <x:c r="N2" s="28" t="n">
        <x:f>'3_Calc'!O2</x:f>
        <x:v>0.08231259186673201</x:v>
      </x:c>
      <x:c r="O2" s="10" t="n">
        <x:f>'3_Calc'!W2</x:f>
        <x:v>12</x:v>
      </x:c>
      <x:c r="P2" s="10" t="n">
        <x:f>_xlfn.RANK.EQ(G2,$G$2:$G$7,0)</x:f>
        <x:v>1</x:v>
      </x:c>
      <x:c r="Q2" s="10" t="n">
        <x:f>_xlfn.RANK.EQ(I2,$I$2:$I$7,0)</x:f>
        <x:v>1</x:v>
      </x:c>
      <x:c r="R2" s="28" t="n">
        <x:f>'3_Calc'!R2</x:f>
        <x:v>0.33680398370303305</x:v>
      </x:c>
      <x:c r="S2" s="28" t="n">
        <x:f>'3_Calc'!AF2</x:f>
        <x:v>0.5726573110004527</x:v>
      </x:c>
      <x:c r="T2" s="26" t="n">
        <x:f>'3_Calc'!AE2</x:f>
        <x:v>0.09053870529651425</x:v>
      </x:c>
      <x:c r="U2" s="26" t="n">
        <x:f>'3_Calc'!AG2</x:f>
        <x:v>0.9094612947034857</x:v>
      </x:c>
      <x:c r="V2" s="30" t="n">
        <x:f>E2+F2</x:f>
        <x:v>12650</x:v>
      </x:c>
      <x:c r="W2" s="26" t="n">
        <x:f>_xlfn.PERCENTRANK.INC($G$2:$G$7,G2)</x:f>
        <x:v>1</x:v>
      </x:c>
    </x:row>
    <x:row r="3" ht="26" customHeight="1">
      <x:c r="A3" s="10" t="str">
        <x:f>'2_Raw_Data'!A3</x:f>
        <x:v>TD</x:v>
      </x:c>
      <x:c r="B3" s="10" t="str">
        <x:f>'2_Raw_Data'!B3</x:f>
        <x:v>Raymond Chun</x:v>
      </x:c>
      <x:c r="C3" s="31" t="n">
        <x:f>'2_Raw_Data'!D3</x:f>
        <x:v>1151</x:v>
      </x:c>
      <x:c r="D3" s="31" t="n">
        <x:f>'2_Raw_Data'!G3</x:f>
        <x:v>2630</x:v>
      </x:c>
      <x:c r="E3" s="31" t="n">
        <x:f>'2_Raw_Data'!E3</x:f>
        <x:v>6630</x:v>
      </x:c>
      <x:c r="F3" s="31" t="n">
        <x:f>'2_Raw_Data'!F3</x:f>
        <x:v>3265</x:v>
      </x:c>
      <x:c r="G3" s="31" t="n">
        <x:f>'3_Calc'!C3</x:f>
        <x:v>13675</x:v>
      </x:c>
      <x:c r="H3" s="28" t="n">
        <x:f>'3_Calc'!S3</x:f>
        <x:v>1.225</x:v>
      </x:c>
      <x:c r="I3" s="31" t="n">
        <x:f>'3_Calc'!U3</x:f>
        <x:v>15025</x:v>
      </x:c>
      <x:c r="J3" s="28" t="n">
        <x:f>'3_Calc'!T3</x:f>
        <x:v>0.95</x:v>
      </x:c>
      <x:c r="K3" s="10" t="str">
        <x:f>'3_Calc'!X3</x:f>
        <x:v>Modifier on award value</x:v>
      </x:c>
      <x:c r="L3" s="31" t="n">
        <x:f>'3_Calc'!P3</x:f>
        <x:v>910.1497504159734</x:v>
      </x:c>
      <x:c r="M3" s="28" t="str">
        <x:f>'3_Calc'!N3</x:f>
        <x:v>n.m.</x:v>
      </x:c>
      <x:c r="N3" s="28" t="str">
        <x:f>'3_Calc'!O3</x:f>
        <x:v>n.m.</x:v>
      </x:c>
      <x:c r="O3" s="10" t="n">
        <x:f>'3_Calc'!W3</x:f>
        <x:v>9</x:v>
      </x:c>
      <x:c r="P3" s="10" t="n">
        <x:f>_xlfn.RANK.EQ(G3,$G$2:$G$7,0)</x:f>
        <x:v>4</x:v>
      </x:c>
      <x:c r="Q3" s="10" t="n">
        <x:f>_xlfn.RANK.EQ(I3,$I$2:$I$7,0)</x:f>
        <x:v>2</x:v>
      </x:c>
      <x:c r="R3" s="28" t="n">
        <x:f>'3_Calc'!R3</x:f>
        <x:v>0.19230769230769232</x:v>
      </x:c>
      <x:c r="S3" s="28" t="n">
        <x:f>'3_Calc'!AF3</x:f>
        <x:v>0.7235302720093595</x:v>
      </x:c>
      <x:c r="T3" s="26" t="n">
        <x:f>'3_Calc'!AE3</x:f>
        <x:v>0.08416203568294824</x:v>
      </x:c>
      <x:c r="U3" s="26" t="n">
        <x:f>'3_Calc'!AG3</x:f>
        <x:v>0.9158379643170518</x:v>
      </x:c>
      <x:c r="V3" s="30" t="n">
        <x:f>E3+F3</x:f>
        <x:v>9895</x:v>
      </x:c>
      <x:c r="W3" s="26" t="n">
        <x:f>_xlfn.PERCENTRANK.INC($G$2:$G$7,G3)</x:f>
        <x:v>0.4</x:v>
      </x:c>
    </x:row>
    <x:row r="4" ht="26" customHeight="1">
      <x:c r="A4" s="10" t="str">
        <x:f>'2_Raw_Data'!A4</x:f>
        <x:v>BNS</x:v>
      </x:c>
      <x:c r="B4" s="10" t="str">
        <x:f>'2_Raw_Data'!B4</x:f>
        <x:v>L. Scott Thomson</x:v>
      </x:c>
      <x:c r="C4" s="31" t="n">
        <x:f>'2_Raw_Data'!D4</x:f>
        <x:v>1100</x:v>
      </x:c>
      <x:c r="D4" s="31" t="n">
        <x:f>'2_Raw_Data'!G4</x:f>
        <x:v>2870</x:v>
      </x:c>
      <x:c r="E4" s="31" t="n">
        <x:f>'2_Raw_Data'!E4</x:f>
        <x:v>6888</x:v>
      </x:c>
      <x:c r="F4" s="31" t="n">
        <x:f>'2_Raw_Data'!F4</x:f>
        <x:v>1722</x:v>
      </x:c>
      <x:c r="G4" s="31" t="n">
        <x:f>'3_Calc'!C4</x:f>
        <x:v>12580</x:v>
      </x:c>
      <x:c r="H4" s="28" t="n">
        <x:f>'3_Calc'!S4</x:f>
        <x:v>1.03</x:v>
      </x:c>
      <x:c r="I4" s="31" t="n">
        <x:f>'3_Calc'!U4</x:f>
        <x:v>9510</x:v>
      </x:c>
      <x:c r="J4" s="28" t="n">
        <x:f>'3_Calc'!T4</x:f>
        <x:v>0.9589</x:v>
      </x:c>
      <x:c r="K4" s="10" t="str">
        <x:f>'3_Calc'!X4</x:f>
        <x:v>Threshold-to-maximum range</x:v>
      </x:c>
      <x:c r="L4" s="31" t="n">
        <x:f>'3_Calc'!P4</x:f>
        <x:v>1322.8180862250263</x:v>
      </x:c>
      <x:c r="M4" s="28" t="n">
        <x:f>'3_Calc'!N4</x:f>
        <x:v>0.28893442622950816</x:v>
      </x:c>
      <x:c r="N4" s="28" t="n">
        <x:f>'3_Calc'!O4</x:f>
        <x:v>0.28893442622950816</x:v>
      </x:c>
      <x:c r="O4" s="10" t="n">
        <x:f>'3_Calc'!W4</x:f>
        <x:v>12</x:v>
      </x:c>
      <x:c r="P4" s="10" t="n">
        <x:f>_xlfn.RANK.EQ(G4,$G$2:$G$7,0)</x:f>
        <x:v>6</x:v>
      </x:c>
      <x:c r="Q4" s="10" t="n">
        <x:f>_xlfn.RANK.EQ(I4,$I$2:$I$7,0)</x:f>
        <x:v>3</x:v>
      </x:c>
      <x:c r="R4" s="28" t="n">
        <x:f>'3_Calc'!R4</x:f>
        <x:v>0.22813990461049286</x:v>
      </x:c>
      <x:c r="S4" s="28" t="n">
        <x:f>'3_Calc'!AF4</x:f>
        <x:v>0.6844197138314785</x:v>
      </x:c>
      <x:c r="T4" s="26" t="n">
        <x:f>'3_Calc'!AE4</x:f>
        <x:v>0.08744038155802862</x:v>
      </x:c>
      <x:c r="U4" s="26" t="n">
        <x:f>'3_Calc'!AG4</x:f>
        <x:v>0.9125596184419714</x:v>
      </x:c>
      <x:c r="V4" s="30" t="n">
        <x:f>E4+F4</x:f>
        <x:v>8610</x:v>
      </x:c>
      <x:c r="W4" s="26" t="n">
        <x:f>_xlfn.PERCENTRANK.INC($G$2:$G$7,G4)</x:f>
        <x:v>0</x:v>
      </x:c>
    </x:row>
    <x:row r="5" ht="26" customHeight="1">
      <x:c r="A5" s="10" t="str">
        <x:f>'2_Raw_Data'!A5</x:f>
        <x:v>BMO</x:v>
      </x:c>
      <x:c r="B5" s="10" t="str">
        <x:f>'2_Raw_Data'!B5</x:f>
        <x:v>Darryl White</x:v>
      </x:c>
      <x:c r="C5" s="31" t="n">
        <x:f>'2_Raw_Data'!D5</x:f>
        <x:v>1200</x:v>
      </x:c>
      <x:c r="D5" s="31" t="n">
        <x:f>'2_Raw_Data'!G5</x:f>
        <x:v>3539</x:v>
      </x:c>
      <x:c r="E5" s="31" t="n">
        <x:f>'2_Raw_Data'!E5</x:f>
        <x:v>8600</x:v>
      </x:c>
      <x:c r="F5" s="31" t="n">
        <x:f>'2_Raw_Data'!F5</x:f>
        <x:v>2106</x:v>
      </x:c>
      <x:c r="G5" s="31" t="n">
        <x:f>'3_Calc'!C5</x:f>
        <x:v>15445</x:v>
      </x:c>
      <x:c r="H5" s="28" t="n">
        <x:f>'3_Calc'!S5</x:f>
        <x:v>1.17</x:v>
      </x:c>
      <x:c r="I5" s="31" t="n">
        <x:f>'3_Calc'!U5</x:f>
        <x:v>9248</x:v>
      </x:c>
      <x:c r="J5" s="28" t="n">
        <x:f>'3_Calc'!T5</x:f>
        <x:v>0.9634</x:v>
      </x:c>
      <x:c r="K5" s="10" t="str">
        <x:f>'3_Calc'!X5</x:f>
        <x:v>Modifier on award value</x:v>
      </x:c>
      <x:c r="L5" s="31" t="n">
        <x:f>'3_Calc'!P5</x:f>
        <x:v>1670.090830449827</x:v>
      </x:c>
      <x:c r="M5" s="28" t="n">
        <x:f>'3_Calc'!N5</x:f>
        <x:v>0.6055093555093556</x:v>
      </x:c>
      <x:c r="N5" s="28" t="n">
        <x:f>'3_Calc'!O5</x:f>
        <x:v>0.6055093555093556</x:v>
      </x:c>
      <x:c r="O5" s="10" t="n">
        <x:f>'3_Calc'!W5</x:f>
        <x:v>12</x:v>
      </x:c>
      <x:c r="P5" s="10" t="n">
        <x:f>_xlfn.RANK.EQ(G5,$G$2:$G$7,0)</x:f>
        <x:v>3</x:v>
      </x:c>
      <x:c r="Q5" s="10" t="n">
        <x:f>_xlfn.RANK.EQ(I5,$I$2:$I$7,0)</x:f>
        <x:v>4</x:v>
      </x:c>
      <x:c r="R5" s="28" t="n">
        <x:f>'3_Calc'!R5</x:f>
        <x:v>0.22913564260278407</x:v>
      </x:c>
      <x:c r="S5" s="28" t="n">
        <x:f>'3_Calc'!AF5</x:f>
        <x:v>0.6931693104564584</x:v>
      </x:c>
      <x:c r="T5" s="26" t="n">
        <x:f>'3_Calc'!AE5</x:f>
        <x:v>0.07769504694075753</x:v>
      </x:c>
      <x:c r="U5" s="26" t="n">
        <x:f>'3_Calc'!AG5</x:f>
        <x:v>0.9223049530592424</x:v>
      </x:c>
      <x:c r="V5" s="30" t="n">
        <x:f>E5+F5</x:f>
        <x:v>10706</x:v>
      </x:c>
      <x:c r="W5" s="26" t="n">
        <x:f>_xlfn.PERCENTRANK.INC($G$2:$G$7,G5)</x:f>
        <x:v>0.6</x:v>
      </x:c>
    </x:row>
    <x:row r="6" ht="26" customHeight="1">
      <x:c r="A6" s="10" t="str">
        <x:f>'2_Raw_Data'!A6</x:f>
        <x:v>NA</x:v>
      </x:c>
      <x:c r="B6" s="10" t="str">
        <x:f>'2_Raw_Data'!B6</x:f>
        <x:v>Laurent Ferreira</x:v>
      </x:c>
      <x:c r="C6" s="31" t="n">
        <x:f>'2_Raw_Data'!D6</x:f>
        <x:v>1112</x:v>
      </x:c>
      <x:c r="D6" s="31" t="n">
        <x:f>'2_Raw_Data'!G6</x:f>
        <x:v>2308</x:v>
      </x:c>
      <x:c r="E6" s="31" t="n">
        <x:f>'2_Raw_Data'!E6</x:f>
        <x:v>6923</x:v>
      </x:c>
      <x:c r="F6" s="31" t="n">
        <x:f>'2_Raw_Data'!F6</x:f>
        <x:v>2308</x:v>
      </x:c>
      <x:c r="G6" s="31" t="n">
        <x:f>'3_Calc'!C6</x:f>
        <x:v>12650</x:v>
      </x:c>
      <x:c r="H6" s="28" t="n">
        <x:f>'3_Calc'!S6</x:f>
        <x:v>1.055</x:v>
      </x:c>
      <x:c r="I6" s="31" t="n">
        <x:f>'3_Calc'!U6</x:f>
        <x:v>4314</x:v>
      </x:c>
      <x:c r="J6" s="28" t="n">
        <x:f>'3_Calc'!T6</x:f>
        <x:v>0.9586</x:v>
      </x:c>
      <x:c r="K6" s="10" t="str">
        <x:f>'3_Calc'!X6</x:f>
        <x:v>Threshold-to-maximum range</x:v>
      </x:c>
      <x:c r="L6" s="31" t="n">
        <x:f>'3_Calc'!P6</x:f>
        <x:v>2932.3133982382938</x:v>
      </x:c>
      <x:c r="M6" s="28" t="n">
        <x:f>'3_Calc'!N6</x:f>
        <x:v>0.10721162261508832</x:v>
      </x:c>
      <x:c r="N6" s="28" t="n">
        <x:f>'3_Calc'!O6</x:f>
        <x:v>0.10721162261508832</x:v>
      </x:c>
      <x:c r="O6" s="10" t="n">
        <x:f>'3_Calc'!W6</x:f>
        <x:v>12</x:v>
      </x:c>
      <x:c r="P6" s="10" t="n">
        <x:f>_xlfn.RANK.EQ(G6,$G$2:$G$7,0)</x:f>
        <x:v>5</x:v>
      </x:c>
      <x:c r="Q6" s="10" t="n">
        <x:f>_xlfn.RANK.EQ(I6,$I$2:$I$7,0)</x:f>
        <x:v>6</x:v>
      </x:c>
      <x:c r="R6" s="28" t="n">
        <x:f>'3_Calc'!R6</x:f>
        <x:v>0.18243617105367166</x:v>
      </x:c>
      <x:c r="S6" s="28" t="n">
        <x:f>'3_Calc'!AF6</x:f>
        <x:v>0.7296656390799147</x:v>
      </x:c>
      <x:c r="T6" s="26" t="n">
        <x:f>'3_Calc'!AE6</x:f>
        <x:v>0.08789818986641372</x:v>
      </x:c>
      <x:c r="U6" s="26" t="n">
        <x:f>'3_Calc'!AG6</x:f>
        <x:v>0.9121018101335863</x:v>
      </x:c>
      <x:c r="V6" s="30" t="n">
        <x:f>E6+F6</x:f>
        <x:v>9231</x:v>
      </x:c>
      <x:c r="W6" s="26" t="n">
        <x:f>_xlfn.PERCENTRANK.INC($G$2:$G$7,G6)</x:f>
        <x:v>0.2</x:v>
      </x:c>
    </x:row>
    <x:row r="7" ht="26" customHeight="1">
      <x:c r="A7" s="10" t="str">
        <x:f>'2_Raw_Data'!A7</x:f>
        <x:v>CM</x:v>
      </x:c>
      <x:c r="B7" s="10" t="str">
        <x:f>'2_Raw_Data'!B7</x:f>
        <x:v>Victor Dodig</x:v>
      </x:c>
      <x:c r="C7" s="31" t="n">
        <x:f>'2_Raw_Data'!D7</x:f>
        <x:v>1000</x:v>
      </x:c>
      <x:c r="D7" s="31" t="n">
        <x:f>'2_Raw_Data'!G7</x:f>
        <x:v>3119</x:v>
      </x:c>
      <x:c r="E7" s="31" t="n">
        <x:f>'2_Raw_Data'!E7</x:f>
        <x:v>9980</x:v>
      </x:c>
      <x:c r="F7" s="31" t="n">
        <x:f>'2_Raw_Data'!F7</x:f>
        <x:v>2495</x:v>
      </x:c>
      <x:c r="G7" s="31" t="n">
        <x:f>'3_Calc'!C7</x:f>
        <x:v>16594</x:v>
      </x:c>
      <x:c r="H7" s="28" t="n">
        <x:f>'3_Calc'!S7</x:f>
        <x:v>1.15</x:v>
      </x:c>
      <x:c r="I7" s="31" t="n">
        <x:f>'3_Calc'!U7</x:f>
        <x:v>8487</x:v>
      </x:c>
      <x:c r="J7" s="28" t="n">
        <x:f>'3_Calc'!T7</x:f>
        <x:v>0.9559000000000001</x:v>
      </x:c>
      <x:c r="K7" s="10" t="str">
        <x:f>'3_Calc'!X7</x:f>
        <x:v>Threshold-to-maximum range</x:v>
      </x:c>
      <x:c r="L7" s="31" t="n">
        <x:f>'3_Calc'!P7</x:f>
        <x:v>1955.2256392129138</x:v>
      </x:c>
      <x:c r="M7" s="28" t="n">
        <x:f>'3_Calc'!N7</x:f>
        <x:v>0.2672012218403972</x:v>
      </x:c>
      <x:c r="N7" s="28" t="n">
        <x:f>'3_Calc'!O7</x:f>
        <x:v>0.2672012218403972</x:v>
      </x:c>
      <x:c r="O7" s="10" t="n">
        <x:f>'3_Calc'!W7</x:f>
        <x:v>12</x:v>
      </x:c>
      <x:c r="P7" s="10" t="n">
        <x:f>_xlfn.RANK.EQ(G7,$G$2:$G$7,0)</x:f>
        <x:v>2</x:v>
      </x:c>
      <x:c r="Q7" s="10" t="n">
        <x:f>_xlfn.RANK.EQ(I7,$I$2:$I$7,0)</x:f>
        <x:v>5</x:v>
      </x:c>
      <x:c r="R7" s="28" t="n">
        <x:f>'3_Calc'!R7</x:f>
        <x:v>0.1879595034349765</x:v>
      </x:c>
      <x:c r="S7" s="28" t="n">
        <x:f>'3_Calc'!AF7</x:f>
        <x:v>0.7517777509943353</x:v>
      </x:c>
      <x:c r="T7" s="26" t="n">
        <x:f>'3_Calc'!AE7</x:f>
        <x:v>0.0602627455706882</x:v>
      </x:c>
      <x:c r="U7" s="26" t="n">
        <x:f>'3_Calc'!AG7</x:f>
        <x:v>0.9397372544293118</x:v>
      </x:c>
      <x:c r="V7" s="30" t="n">
        <x:f>E7+F7</x:f>
        <x:v>12475</x:v>
      </x:c>
      <x:c r="W7" s="26" t="n">
        <x:f>_xlfn.PERCENTRANK.INC($G$2:$G$7,G7)</x:f>
        <x:v>0.8</x:v>
      </x:c>
    </x:row>
    <x:row r="8">
      <x:c r="C8" s="30"/>
      <x:c r="D8" s="30"/>
      <x:c r="E8" s="30"/>
      <x:c r="F8" s="30"/>
      <x:c r="G8" s="30"/>
      <x:c r="H8" s="26"/>
      <x:c r="I8" s="30"/>
      <x:c r="J8" s="26"/>
      <x:c r="L8" s="30"/>
      <x:c r="M8" s="26"/>
      <x:c r="N8" s="26"/>
      <x:c r="R8" s="26"/>
      <x:c r="S8" s="26"/>
      <x:c r="T8" s="26"/>
      <x:c r="U8" s="26"/>
      <x:c r="V8" s="30"/>
      <x:c r="W8" s="26"/>
    </x:row>
    <x:row r="9">
      <x:c r="A9" t="str">
        <x:v>P25</x:v>
      </x:c>
      <x:c r="C9" s="30" t="n">
        <x:f>IFERROR(_xlfn.PERCENTILE.INC(C$2:C$7,0.25),"N/A")</x:f>
        <x:v>1103</x:v>
      </x:c>
      <x:c r="D9" s="30" t="n">
        <x:f>IFERROR(_xlfn.PERCENTILE.INC(D$2:D$7,0.25),"N/A")</x:f>
        <x:v>2690</x:v>
      </x:c>
      <x:c r="E9" s="30"/>
      <x:c r="F9" s="30"/>
      <x:c r="G9" s="30" t="n">
        <x:f>IFERROR(_xlfn.PERCENTILE.INC(G$2:G$7,0.25),"N/A")</x:f>
        <x:v>12906.25</x:v>
      </x:c>
      <x:c r="H9" s="26" t="n">
        <x:f>IFERROR(_xlfn.PERCENTILE.INC(H$2:H$7,0.25),"N/A")</x:f>
        <x:v>1.055</x:v>
      </x:c>
      <x:c r="I9" s="30"/>
      <x:c r="J9" s="26" t="n">
        <x:f>IFERROR(_xlfn.PERCENTILE.INC(J$2:J$7,0.25),"N/A")</x:f>
        <x:v>0.956575</x:v>
      </x:c>
      <x:c r="L9" s="30" t="n">
        <x:f>IFERROR(_xlfn.PERCENTILE.INC(L$2:L$7,0.25),"N/A")</x:f>
        <x:v>1144.0728754273352</x:v>
      </x:c>
      <x:c r="M9" s="26"/>
      <x:c r="N9" s="26"/>
      <x:c r="R9" s="26" t="n">
        <x:f>IFERROR(_xlfn.PERCENTILE.INC(R$2:R$7,0.25),"N/A")</x:f>
        <x:v>0.18904655065316</x:v>
      </x:c>
      <x:c r="S9" s="26" t="n">
        <x:f>IFERROR(_xlfn.PERCENTILE.INC(S$2:S$7,0.25),"N/A")</x:f>
        <x:v>0.68660711298772</x:v>
      </x:c>
      <x:c r="T9" s="26" t="n">
        <x:f>IFERROR(_xlfn.PERCENTILE.INC(T$2:T$7,0.25),"N/A")</x:f>
        <x:v>0.07931179412631</x:v>
      </x:c>
      <x:c r="U9" s="26" t="n">
        <x:f>IFERROR(_xlfn.PERCENTILE.INC(U$2:U$7,0.25),"N/A")</x:f>
        <x:v>0.91221626221068</x:v>
      </x:c>
      <x:c r="V9" s="30" t="n">
        <x:f>IFERROR(_xlfn.PERCENTILE.INC(V$2:V$7,0.25),"N/A")</x:f>
        <x:v>9397</x:v>
      </x:c>
      <x:c r="W9" s="26"/>
    </x:row>
    <x:row r="10">
      <x:c r="A10" t="str">
        <x:v>P50</x:v>
      </x:c>
      <x:c r="C10" s="30" t="n">
        <x:f>IFERROR(_xlfn.PERCENTILE.INC(C$2:C$7,0.5),"N/A")</x:f>
        <x:v>1131.5</x:v>
      </x:c>
      <x:c r="D10" s="30" t="n">
        <x:f>IFERROR(_xlfn.PERCENTILE.INC(D$2:D$7,0.5),"N/A")</x:f>
        <x:v>2994.5</x:v>
      </x:c>
      <x:c r="E10" s="30"/>
      <x:c r="F10" s="30"/>
      <x:c r="G10" s="30" t="n">
        <x:f>IFERROR(_xlfn.PERCENTILE.INC(G$2:G$7,0.5),"N/A")</x:f>
        <x:v>14560</x:v>
      </x:c>
      <x:c r="H10" s="26" t="n">
        <x:f>IFERROR(_xlfn.PERCENTILE.INC(H$2:H$7,0.5),"N/A")</x:f>
        <x:v>1.15</x:v>
      </x:c>
      <x:c r="I10" s="30"/>
      <x:c r="J10" s="26" t="n">
        <x:f>IFERROR(_xlfn.PERCENTILE.INC(J$2:J$7,0.5),"N/A")</x:f>
        <x:v>0.95875</x:v>
      </x:c>
      <x:c r="L10" s="30" t="n">
        <x:f>IFERROR(_xlfn.PERCENTILE.INC(L$2:L$7,0.5),"N/A")</x:f>
        <x:v>1496.4544583374268</x:v>
      </x:c>
      <x:c r="M10" s="26"/>
      <x:c r="N10" s="26"/>
      <x:c r="R10" s="26" t="n">
        <x:f>IFERROR(_xlfn.PERCENTILE.INC(R$2:R$7,0.5),"N/A")</x:f>
        <x:v>0.21022379845909</x:v>
      </x:c>
      <x:c r="S10" s="26" t="n">
        <x:f>IFERROR(_xlfn.PERCENTILE.INC(S$2:S$7,0.5),"N/A")</x:f>
        <x:v>0.70834979123291</x:v>
      </x:c>
      <x:c r="T10" s="26" t="n">
        <x:f>IFERROR(_xlfn.PERCENTILE.INC(T$2:T$7,0.5),"N/A")</x:f>
        <x:v>0.08580120862049</x:v>
      </x:c>
      <x:c r="U10" s="26" t="n">
        <x:f>IFERROR(_xlfn.PERCENTILE.INC(U$2:U$7,0.5),"N/A")</x:f>
        <x:v>0.91419879137951</x:v>
      </x:c>
      <x:c r="V10" s="30" t="n">
        <x:f>IFERROR(_xlfn.PERCENTILE.INC(V$2:V$7,0.5),"N/A")</x:f>
        <x:v>10300.5</x:v>
      </x:c>
      <x:c r="W10" s="26"/>
    </x:row>
    <x:row r="11">
      <x:c r="A11" t="str">
        <x:v>P75</x:v>
      </x:c>
      <x:c r="C11" s="30" t="n">
        <x:f>IFERROR(_xlfn.PERCENTILE.INC(C$2:C$7,0.75),"N/A")</x:f>
        <x:v>1187.75</x:v>
      </x:c>
      <x:c r="D11" s="30" t="n">
        <x:f>IFERROR(_xlfn.PERCENTILE.INC(D$2:D$7,0.75),"N/A")</x:f>
        <x:v>3434</x:v>
      </x:c>
      <x:c r="E11" s="30"/>
      <x:c r="F11" s="30"/>
      <x:c r="G11" s="30" t="n">
        <x:f>IFERROR(_xlfn.PERCENTILE.INC(G$2:G$7,0.75),"N/A")</x:f>
        <x:v>16306.75</x:v>
      </x:c>
      <x:c r="H11" s="26" t="n">
        <x:f>IFERROR(_xlfn.PERCENTILE.INC(H$2:H$7,0.75),"N/A")</x:f>
        <x:v>1.17</x:v>
      </x:c>
      <x:c r="I11" s="30"/>
      <x:c r="J11" s="26" t="n">
        <x:f>IFERROR(_xlfn.PERCENTILE.INC(J$2:J$7,0.75),"N/A")</x:f>
        <x:v>0.962275</x:v>
      </x:c>
      <x:c r="L11" s="30" t="n">
        <x:f>IFERROR(_xlfn.PERCENTILE.INC(L$2:L$7,0.75),"N/A")</x:f>
        <x:v>1883.9419370221422</x:v>
      </x:c>
      <x:c r="M11" s="26"/>
      <x:c r="N11" s="26"/>
      <x:c r="R11" s="26" t="n">
        <x:f>IFERROR(_xlfn.PERCENTILE.INC(R$2:R$7,0.75),"N/A")</x:f>
        <x:v>0.22888670810471</x:v>
      </x:c>
      <x:c r="S11" s="26" t="n">
        <x:f>IFERROR(_xlfn.PERCENTILE.INC(S$2:S$7,0.75),"N/A")</x:f>
        <x:v>0.72813179731228</x:v>
      </x:c>
      <x:c r="T11" s="26" t="n">
        <x:f>IFERROR(_xlfn.PERCENTILE.INC(T$2:T$7,0.75),"N/A")</x:f>
        <x:v>0.08778373778932</x:v>
      </x:c>
      <x:c r="U11" s="26" t="n">
        <x:f>IFERROR(_xlfn.PERCENTILE.INC(U$2:U$7,0.75),"N/A")</x:f>
        <x:v>0.92068820587369</x:v>
      </x:c>
      <x:c r="V11" s="30" t="n">
        <x:f>IFERROR(_xlfn.PERCENTILE.INC(V$2:V$7,0.75),"N/A")</x:f>
        <x:v>12032.75</x:v>
      </x:c>
      <x:c r="W11" s="26"/>
    </x:row>
    <x:row r="12">
      <x:c r="A12" t="str">
        <x:v>Average</x:v>
      </x:c>
      <x:c r="C12" t="n">
        <x:f>IFERROR(AVERAGE(C$2:C$7),"N/A")</x:f>
        <x:v>1260.5</x:v>
      </x:c>
      <x:c r="D12" t="n">
        <x:f>IFERROR(AVERAGE(D$2:D$7),"N/A")</x:f>
        <x:v>3651</x:v>
      </x:c>
      <x:c r="G12" t="n">
        <x:f>IFERROR(AVERAGE(G$2:G$7),"N/A")</x:f>
        <x:v>15505.666666666666</x:v>
      </x:c>
      <x:c r="H12" s="26" t="n">
        <x:f>IFERROR(AVERAGE(H$2:H$7),"N/A")</x:f>
        <x:v>1.126</x:v>
      </x:c>
      <x:c r="J12" s="26" t="n">
        <x:f>IFERROR(AVERAGE(J$2:J$7),"N/A")</x:f>
        <x:v>0.95955</x:v>
      </x:c>
      <x:c r="L12" t="n">
        <x:f>IFERROR(AVERAGE(L$2:L$7),"N/A")</x:f>
        <x:v>1645.8481405061345</x:v>
      </x:c>
      <x:c r="M12" s="26"/>
      <x:c r="N12" s="26"/>
      <x:c r="R12" s="26" t="n">
        <x:f>IFERROR(AVERAGE(R$2:R$7),"N/A")</x:f>
        <x:v>0.22613048295210844</x:v>
      </x:c>
      <x:c r="S12" s="26" t="n">
        <x:f>IFERROR(AVERAGE(S$2:S$7),"N/A")</x:f>
        <x:v>0.6925366662286665</x:v>
      </x:c>
      <x:c r="T12" s="26" t="n">
        <x:f>IFERROR(AVERAGE(T$2:T$7),"N/A")</x:f>
        <x:v>0.08133285081922509</x:v>
      </x:c>
      <x:c r="U12" s="26" t="n">
        <x:f>IFERROR(AVERAGE(U$2:U$7),"N/A")</x:f>
        <x:v>0.918667149180775</x:v>
      </x:c>
      <x:c r="V12" t="n">
        <x:f>IFERROR(AVERAGE(V$2:V$7),"N/A")</x:f>
        <x:v>10594.5</x:v>
      </x:c>
      <x:c r="W12" s="26"/>
    </x:row>
  </x:sheetData>
  <x:autoFilter ref="A1:W7"/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  <x:col min="40" max="40" width="25" hidden="0" customWidth="1"/>
  </x:cols>
  <x:sheetData>
    <x:row r="1" ht="32" customHeight="1">
      <x:c r="A1" s="22" t="str">
        <x:v>Bank</x:v>
      </x:c>
      <x:c r="B1" s="22" t="str">
        <x:v>TDC $000</x:v>
      </x:c>
      <x:c r="C1" s="22" t="str">
        <x:v>P50 TDC $000</x:v>
      </x:c>
      <x:c r="D1" s="22" t="str">
        <x:v>Rank</x:v>
      </x:c>
      <x:c r="E1" s="22"/>
      <x:c r="F1" s="22" t="str">
        <x:v>Bank</x:v>
      </x:c>
      <x:c r="G1" s="22" t="str">
        <x:v>Salary %</x:v>
      </x:c>
      <x:c r="H1" s="22" t="str">
        <x:v>STI %</x:v>
      </x:c>
      <x:c r="I1" s="22" t="str">
        <x:v>LTI %</x:v>
      </x:c>
      <x:c r="J1" s="22" t="str">
        <x:v>At-risk %</x:v>
      </x:c>
      <x:c r="K1" s="22"/>
      <x:c r="L1" s="22" t="str">
        <x:v>Bank</x:v>
      </x:c>
      <x:c r="M1" s="22" t="str">
        <x:v>Final BPF %</x:v>
      </x:c>
      <x:c r="N1" s="22" t="str">
        <x:v>Target 100%</x:v>
      </x:c>
      <x:c r="O1" s="22"/>
      <x:c r="P1" s="22" t="str">
        <x:v>Bank</x:v>
      </x:c>
      <x:c r="Q1" s="22" t="str">
        <x:v>PSU %</x:v>
      </x:c>
      <x:c r="R1" s="22" t="str">
        <x:v>Options %</x:v>
      </x:c>
      <x:c r="S1" s="22" t="str">
        <x:v>RSU %</x:v>
      </x:c>
      <x:c r="T1" s="22"/>
      <x:c r="U1" s="22" t="str">
        <x:v>Bank</x:v>
      </x:c>
      <x:c r="V1" s="22" t="str">
        <x:v>Adjusted NI $M</x:v>
      </x:c>
      <x:c r="W1" s="22" t="str">
        <x:v>TDC $000</x:v>
      </x:c>
      <x:c r="X1" s="22"/>
      <x:c r="Y1" s="22" t="str">
        <x:v>Bank</x:v>
      </x:c>
      <x:c r="Z1" s="22" t="str">
        <x:v>Say-on-Pay %</x:v>
      </x:c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</x:row>
    <x:row r="2">
      <x:c r="A2" t="str">
        <x:f>'4_Peer_Summary'!A2</x:f>
        <x:v>RY</x:v>
      </x:c>
      <x:c r="B2" t="n">
        <x:f>'4_Peer_Summary'!G2</x:f>
        <x:v>22090</x:v>
      </x:c>
      <x:c r="C2" t="n">
        <x:f>'4_Peer_Summary'!$G$10</x:f>
        <x:v>14560</x:v>
      </x:c>
      <x:c r="D2" t="n">
        <x:f>'4_Peer_Summary'!P2</x:f>
        <x:v>1</x:v>
      </x:c>
      <x:c r="F2" s="26" t="str">
        <x:f>'4_Peer_Summary'!A2</x:f>
        <x:v>RY</x:v>
      </x:c>
      <x:c r="G2" s="26" t="n">
        <x:f>'4_Peer_Summary'!T2</x:f>
        <x:v>0.09053870529651425</x:v>
      </x:c>
      <x:c r="H2" s="26" t="n">
        <x:f>'4_Peer_Summary'!R2</x:f>
        <x:v>0.33680398370303305</x:v>
      </x:c>
      <x:c r="I2" s="26" t="n">
        <x:f>'4_Peer_Summary'!S2</x:f>
        <x:v>0.5726573110004527</x:v>
      </x:c>
      <x:c r="J2" s="26" t="n">
        <x:f>'4_Peer_Summary'!U2</x:f>
        <x:v>0.9094612947034857</x:v>
      </x:c>
      <x:c r="L2" t="str">
        <x:f>'4_Peer_Summary'!A2</x:f>
        <x:v>RY</x:v>
      </x:c>
      <x:c r="M2" s="26" t="str">
        <x:f>'4_Peer_Summary'!H2</x:f>
        <x:v>N/A</x:v>
      </x:c>
      <x:c r="N2" s="26" t="n">
        <x:v>1</x:v>
      </x:c>
      <x:c r="P2" t="str">
        <x:f>'4_Peer_Summary'!A2</x:f>
        <x:v>RY</x:v>
      </x:c>
      <x:c r="Q2" s="26" t="n">
        <x:f>'2_Raw_Data'!AO2</x:f>
        <x:v>0.8</x:v>
      </x:c>
      <x:c r="R2" s="26" t="n">
        <x:f>'2_Raw_Data'!AP2</x:f>
        <x:v>0.2</x:v>
      </x:c>
      <x:c r="S2" s="26" t="n">
        <x:f>'2_Raw_Data'!AQ2</x:f>
        <x:v>0</x:v>
      </x:c>
      <x:c r="U2" t="str">
        <x:f>'4_Peer_Summary'!A2</x:f>
        <x:v>RY</x:v>
      </x:c>
      <x:c r="V2" t="n">
        <x:f>'4_Peer_Summary'!I2</x:f>
        <x:v>20369</x:v>
      </x:c>
      <x:c r="W2" t="n">
        <x:f>'4_Peer_Summary'!G2</x:f>
        <x:v>22090</x:v>
      </x:c>
      <x:c r="Y2" t="str">
        <x:f>'4_Peer_Summary'!A2</x:f>
        <x:v>RY</x:v>
      </x:c>
      <x:c r="Z2" s="26" t="n">
        <x:f>'4_Peer_Summary'!J2</x:f>
        <x:v>0.9704999999999999</x:v>
      </x:c>
    </x:row>
    <x:row r="3">
      <x:c r="A3" t="str">
        <x:f>'4_Peer_Summary'!A3</x:f>
        <x:v>TD</x:v>
      </x:c>
      <x:c r="B3" t="n">
        <x:f>'4_Peer_Summary'!G3</x:f>
        <x:v>13675</x:v>
      </x:c>
      <x:c r="C3" t="n">
        <x:f>'4_Peer_Summary'!$G$10</x:f>
        <x:v>14560</x:v>
      </x:c>
      <x:c r="D3" t="n">
        <x:f>'4_Peer_Summary'!P3</x:f>
        <x:v>4</x:v>
      </x:c>
      <x:c r="F3" s="26" t="str">
        <x:f>'4_Peer_Summary'!A3</x:f>
        <x:v>TD</x:v>
      </x:c>
      <x:c r="G3" s="26" t="n">
        <x:f>'4_Peer_Summary'!T3</x:f>
        <x:v>0.08416203568294824</x:v>
      </x:c>
      <x:c r="H3" s="26" t="n">
        <x:f>'4_Peer_Summary'!R3</x:f>
        <x:v>0.19230769230769232</x:v>
      </x:c>
      <x:c r="I3" s="26" t="n">
        <x:f>'4_Peer_Summary'!S3</x:f>
        <x:v>0.7235302720093595</x:v>
      </x:c>
      <x:c r="J3" s="26" t="n">
        <x:f>'4_Peer_Summary'!U3</x:f>
        <x:v>0.9158379643170518</x:v>
      </x:c>
      <x:c r="L3" t="str">
        <x:f>'4_Peer_Summary'!A3</x:f>
        <x:v>TD</x:v>
      </x:c>
      <x:c r="M3" s="26" t="n">
        <x:f>'4_Peer_Summary'!H3</x:f>
        <x:v>1.225</x:v>
      </x:c>
      <x:c r="N3" s="26" t="n">
        <x:v>1</x:v>
      </x:c>
      <x:c r="P3" t="str">
        <x:f>'4_Peer_Summary'!A3</x:f>
        <x:v>TD</x:v>
      </x:c>
      <x:c r="Q3" s="26" t="n">
        <x:f>'2_Raw_Data'!AO3</x:f>
        <x:v>0.67</x:v>
      </x:c>
      <x:c r="R3" s="26" t="n">
        <x:f>'2_Raw_Data'!AP3</x:f>
        <x:v>0.33</x:v>
      </x:c>
      <x:c r="S3" s="26" t="n">
        <x:f>'2_Raw_Data'!AQ3</x:f>
        <x:v>0</x:v>
      </x:c>
      <x:c r="U3" t="str">
        <x:f>'4_Peer_Summary'!A3</x:f>
        <x:v>TD</x:v>
      </x:c>
      <x:c r="V3" t="n">
        <x:f>'4_Peer_Summary'!I3</x:f>
        <x:v>15025</x:v>
      </x:c>
      <x:c r="W3" t="n">
        <x:f>'4_Peer_Summary'!G3</x:f>
        <x:v>13675</x:v>
      </x:c>
      <x:c r="Y3" t="str">
        <x:f>'4_Peer_Summary'!A3</x:f>
        <x:v>TD</x:v>
      </x:c>
      <x:c r="Z3" s="26" t="n">
        <x:f>'4_Peer_Summary'!J3</x:f>
        <x:v>0.95</x:v>
      </x:c>
    </x:row>
    <x:row r="4">
      <x:c r="A4" t="str">
        <x:f>'4_Peer_Summary'!A4</x:f>
        <x:v>BNS</x:v>
      </x:c>
      <x:c r="B4" t="n">
        <x:f>'4_Peer_Summary'!G4</x:f>
        <x:v>12580</x:v>
      </x:c>
      <x:c r="C4" t="n">
        <x:f>'4_Peer_Summary'!$G$10</x:f>
        <x:v>14560</x:v>
      </x:c>
      <x:c r="D4" t="n">
        <x:f>'4_Peer_Summary'!P4</x:f>
        <x:v>6</x:v>
      </x:c>
      <x:c r="F4" s="26" t="str">
        <x:f>'4_Peer_Summary'!A4</x:f>
        <x:v>BNS</x:v>
      </x:c>
      <x:c r="G4" s="26" t="n">
        <x:f>'4_Peer_Summary'!T4</x:f>
        <x:v>0.08744038155802862</x:v>
      </x:c>
      <x:c r="H4" s="26" t="n">
        <x:f>'4_Peer_Summary'!R4</x:f>
        <x:v>0.22813990461049286</x:v>
      </x:c>
      <x:c r="I4" s="26" t="n">
        <x:f>'4_Peer_Summary'!S4</x:f>
        <x:v>0.6844197138314785</x:v>
      </x:c>
      <x:c r="J4" s="26" t="n">
        <x:f>'4_Peer_Summary'!U4</x:f>
        <x:v>0.9125596184419714</x:v>
      </x:c>
      <x:c r="L4" t="str">
        <x:f>'4_Peer_Summary'!A4</x:f>
        <x:v>BNS</x:v>
      </x:c>
      <x:c r="M4" s="26" t="n">
        <x:f>'4_Peer_Summary'!H4</x:f>
        <x:v>1.03</x:v>
      </x:c>
      <x:c r="N4" s="26" t="n">
        <x:v>1</x:v>
      </x:c>
      <x:c r="P4" t="str">
        <x:f>'4_Peer_Summary'!A4</x:f>
        <x:v>BNS</x:v>
      </x:c>
      <x:c r="Q4" s="26" t="n">
        <x:f>'2_Raw_Data'!AO4</x:f>
        <x:v>0.8</x:v>
      </x:c>
      <x:c r="R4" s="26" t="n">
        <x:f>'2_Raw_Data'!AP4</x:f>
        <x:v>0.2</x:v>
      </x:c>
      <x:c r="S4" s="26" t="n">
        <x:f>'2_Raw_Data'!AQ4</x:f>
        <x:v>0</x:v>
      </x:c>
      <x:c r="U4" t="str">
        <x:f>'4_Peer_Summary'!A4</x:f>
        <x:v>BNS</x:v>
      </x:c>
      <x:c r="V4" t="n">
        <x:f>'4_Peer_Summary'!I4</x:f>
        <x:v>9510</x:v>
      </x:c>
      <x:c r="W4" t="n">
        <x:f>'4_Peer_Summary'!G4</x:f>
        <x:v>12580</x:v>
      </x:c>
      <x:c r="Y4" t="str">
        <x:f>'4_Peer_Summary'!A4</x:f>
        <x:v>BNS</x:v>
      </x:c>
      <x:c r="Z4" s="26" t="n">
        <x:f>'4_Peer_Summary'!J4</x:f>
        <x:v>0.9589</x:v>
      </x:c>
    </x:row>
    <x:row r="5">
      <x:c r="A5" t="str">
        <x:f>'4_Peer_Summary'!A5</x:f>
        <x:v>BMO</x:v>
      </x:c>
      <x:c r="B5" t="n">
        <x:f>'4_Peer_Summary'!G5</x:f>
        <x:v>15445</x:v>
      </x:c>
      <x:c r="C5" t="n">
        <x:f>'4_Peer_Summary'!$G$10</x:f>
        <x:v>14560</x:v>
      </x:c>
      <x:c r="D5" t="n">
        <x:f>'4_Peer_Summary'!P5</x:f>
        <x:v>3</x:v>
      </x:c>
      <x:c r="F5" s="26" t="str">
        <x:f>'4_Peer_Summary'!A5</x:f>
        <x:v>BMO</x:v>
      </x:c>
      <x:c r="G5" s="26" t="n">
        <x:f>'4_Peer_Summary'!T5</x:f>
        <x:v>0.07769504694075753</x:v>
      </x:c>
      <x:c r="H5" s="26" t="n">
        <x:f>'4_Peer_Summary'!R5</x:f>
        <x:v>0.22913564260278407</x:v>
      </x:c>
      <x:c r="I5" s="26" t="n">
        <x:f>'4_Peer_Summary'!S5</x:f>
        <x:v>0.6931693104564584</x:v>
      </x:c>
      <x:c r="J5" s="26" t="n">
        <x:f>'4_Peer_Summary'!U5</x:f>
        <x:v>0.9223049530592424</x:v>
      </x:c>
      <x:c r="L5" t="str">
        <x:f>'4_Peer_Summary'!A5</x:f>
        <x:v>BMO</x:v>
      </x:c>
      <x:c r="M5" s="26" t="n">
        <x:f>'4_Peer_Summary'!H5</x:f>
        <x:v>1.17</x:v>
      </x:c>
      <x:c r="N5" s="26" t="n">
        <x:v>1</x:v>
      </x:c>
      <x:c r="P5" t="str">
        <x:f>'4_Peer_Summary'!A5</x:f>
        <x:v>BMO</x:v>
      </x:c>
      <x:c r="Q5" s="26" t="n">
        <x:f>'2_Raw_Data'!AO5</x:f>
        <x:v>0.8033</x:v>
      </x:c>
      <x:c r="R5" s="26" t="n">
        <x:f>'2_Raw_Data'!AP5</x:f>
        <x:v>0.1967</x:v>
      </x:c>
      <x:c r="S5" s="26" t="n">
        <x:f>'2_Raw_Data'!AQ5</x:f>
        <x:v>0</x:v>
      </x:c>
      <x:c r="U5" t="str">
        <x:f>'4_Peer_Summary'!A5</x:f>
        <x:v>BMO</x:v>
      </x:c>
      <x:c r="V5" t="n">
        <x:f>'4_Peer_Summary'!I5</x:f>
        <x:v>9248</x:v>
      </x:c>
      <x:c r="W5" t="n">
        <x:f>'4_Peer_Summary'!G5</x:f>
        <x:v>15445</x:v>
      </x:c>
      <x:c r="Y5" t="str">
        <x:f>'4_Peer_Summary'!A5</x:f>
        <x:v>BMO</x:v>
      </x:c>
      <x:c r="Z5" s="26" t="n">
        <x:f>'4_Peer_Summary'!J5</x:f>
        <x:v>0.9634</x:v>
      </x:c>
    </x:row>
    <x:row r="6">
      <x:c r="A6" t="str">
        <x:f>'4_Peer_Summary'!A6</x:f>
        <x:v>NA</x:v>
      </x:c>
      <x:c r="B6" t="n">
        <x:f>'4_Peer_Summary'!G6</x:f>
        <x:v>12650</x:v>
      </x:c>
      <x:c r="C6" t="n">
        <x:f>'4_Peer_Summary'!$G$10</x:f>
        <x:v>14560</x:v>
      </x:c>
      <x:c r="D6" t="n">
        <x:f>'4_Peer_Summary'!P6</x:f>
        <x:v>5</x:v>
      </x:c>
      <x:c r="F6" s="26" t="str">
        <x:f>'4_Peer_Summary'!A6</x:f>
        <x:v>NA</x:v>
      </x:c>
      <x:c r="G6" s="26" t="n">
        <x:f>'4_Peer_Summary'!T6</x:f>
        <x:v>0.08789818986641372</x:v>
      </x:c>
      <x:c r="H6" s="26" t="n">
        <x:f>'4_Peer_Summary'!R6</x:f>
        <x:v>0.18243617105367166</x:v>
      </x:c>
      <x:c r="I6" s="26" t="n">
        <x:f>'4_Peer_Summary'!S6</x:f>
        <x:v>0.7296656390799147</x:v>
      </x:c>
      <x:c r="J6" s="26" t="n">
        <x:f>'4_Peer_Summary'!U6</x:f>
        <x:v>0.9121018101335863</x:v>
      </x:c>
      <x:c r="L6" t="str">
        <x:f>'4_Peer_Summary'!A6</x:f>
        <x:v>NA</x:v>
      </x:c>
      <x:c r="M6" s="26" t="n">
        <x:f>'4_Peer_Summary'!H6</x:f>
        <x:v>1.055</x:v>
      </x:c>
      <x:c r="N6" s="26" t="n">
        <x:v>1</x:v>
      </x:c>
      <x:c r="P6" t="str">
        <x:f>'4_Peer_Summary'!A6</x:f>
        <x:v>NA</x:v>
      </x:c>
      <x:c r="Q6" s="26" t="n">
        <x:f>'2_Raw_Data'!AO6</x:f>
        <x:v>0.75</x:v>
      </x:c>
      <x:c r="R6" s="26" t="n">
        <x:f>'2_Raw_Data'!AP6</x:f>
        <x:v>0.25</x:v>
      </x:c>
      <x:c r="S6" s="26" t="n">
        <x:f>'2_Raw_Data'!AQ6</x:f>
        <x:v>0</x:v>
      </x:c>
      <x:c r="U6" t="str">
        <x:f>'4_Peer_Summary'!A6</x:f>
        <x:v>NA</x:v>
      </x:c>
      <x:c r="V6" t="n">
        <x:f>'4_Peer_Summary'!I6</x:f>
        <x:v>4314</x:v>
      </x:c>
      <x:c r="W6" t="n">
        <x:f>'4_Peer_Summary'!G6</x:f>
        <x:v>12650</x:v>
      </x:c>
      <x:c r="Y6" t="str">
        <x:f>'4_Peer_Summary'!A6</x:f>
        <x:v>NA</x:v>
      </x:c>
      <x:c r="Z6" s="26" t="n">
        <x:f>'4_Peer_Summary'!J6</x:f>
        <x:v>0.9586</x:v>
      </x:c>
    </x:row>
    <x:row r="7">
      <x:c r="A7" t="str">
        <x:f>'4_Peer_Summary'!A7</x:f>
        <x:v>CM</x:v>
      </x:c>
      <x:c r="B7" t="n">
        <x:f>'4_Peer_Summary'!G7</x:f>
        <x:v>16594</x:v>
      </x:c>
      <x:c r="C7" t="n">
        <x:f>'4_Peer_Summary'!$G$10</x:f>
        <x:v>14560</x:v>
      </x:c>
      <x:c r="D7" t="n">
        <x:f>'4_Peer_Summary'!P7</x:f>
        <x:v>2</x:v>
      </x:c>
      <x:c r="F7" s="26" t="str">
        <x:f>'4_Peer_Summary'!A7</x:f>
        <x:v>CM</x:v>
      </x:c>
      <x:c r="G7" s="26" t="n">
        <x:f>'4_Peer_Summary'!T7</x:f>
        <x:v>0.0602627455706882</x:v>
      </x:c>
      <x:c r="H7" s="26" t="n">
        <x:f>'4_Peer_Summary'!R7</x:f>
        <x:v>0.1879595034349765</x:v>
      </x:c>
      <x:c r="I7" s="26" t="n">
        <x:f>'4_Peer_Summary'!S7</x:f>
        <x:v>0.7517777509943353</x:v>
      </x:c>
      <x:c r="J7" s="26" t="n">
        <x:f>'4_Peer_Summary'!U7</x:f>
        <x:v>0.9397372544293118</x:v>
      </x:c>
      <x:c r="L7" t="str">
        <x:f>'4_Peer_Summary'!A7</x:f>
        <x:v>CM</x:v>
      </x:c>
      <x:c r="M7" s="26" t="n">
        <x:f>'4_Peer_Summary'!H7</x:f>
        <x:v>1.15</x:v>
      </x:c>
      <x:c r="N7" s="26" t="n">
        <x:v>1</x:v>
      </x:c>
      <x:c r="P7" t="str">
        <x:f>'4_Peer_Summary'!A7</x:f>
        <x:v>CM</x:v>
      </x:c>
      <x:c r="Q7" s="26" t="n">
        <x:f>'2_Raw_Data'!AO7</x:f>
        <x:v>0.8</x:v>
      </x:c>
      <x:c r="R7" s="26" t="n">
        <x:f>'2_Raw_Data'!AP7</x:f>
        <x:v>0.2</x:v>
      </x:c>
      <x:c r="S7" s="26" t="n">
        <x:f>'2_Raw_Data'!AQ7</x:f>
        <x:v>0</x:v>
      </x:c>
      <x:c r="U7" t="str">
        <x:f>'4_Peer_Summary'!A7</x:f>
        <x:v>CM</x:v>
      </x:c>
      <x:c r="V7" t="n">
        <x:f>'4_Peer_Summary'!I7</x:f>
        <x:v>8487</x:v>
      </x:c>
      <x:c r="W7" t="n">
        <x:f>'4_Peer_Summary'!G7</x:f>
        <x:v>16594</x:v>
      </x:c>
      <x:c r="Y7" t="str">
        <x:f>'4_Peer_Summary'!A7</x:f>
        <x:v>CM</x:v>
      </x:c>
      <x:c r="Z7" s="26" t="n">
        <x:f>'4_Peer_Summary'!J7</x:f>
        <x:v>0.9559000000000001</x:v>
      </x:c>
    </x:row>
    <x:row r="8">
      <x:c r="F8" s="26"/>
      <x:c r="G8" s="26"/>
      <x:c r="H8" s="26"/>
      <x:c r="I8" s="26"/>
      <x:c r="J8" s="26"/>
      <x:c r="M8" s="26"/>
      <x:c r="N8" s="26"/>
      <x:c r="Q8" s="26"/>
      <x:c r="R8" s="26"/>
      <x:c r="S8" s="26"/>
      <x:c r="Z8" s="26"/>
    </x:row>
    <x:row r="9">
      <x:c r="A9" t="str">
        <x:v>TDC descending order: RY, CM, BMO, TD, BNS, NA.</x:v>
      </x:c>
      <x:c r="F9" s="26"/>
      <x:c r="G9" s="26"/>
      <x:c r="H9" s="26"/>
      <x:c r="I9" s="26"/>
      <x:c r="J9" s="26"/>
      <x:c r="L9" t="str">
        <x:v>RY BPF is N/A (discretionary/non-formulaic), not 0%.</x:v>
      </x:c>
      <x:c r="M9" s="26"/>
      <x:c r="N9" s="26"/>
      <x:c r="Q9" s="26"/>
      <x:c r="R9" s="26"/>
      <x:c r="S9" s="26"/>
      <x:c r="Z9" s="26"/>
    </x:row>
    <x:row r="10">
      <x:c r="F10" s="26"/>
      <x:c r="G10" s="26"/>
      <x:c r="H10" s="26"/>
      <x:c r="I10" s="26"/>
      <x:c r="J10" s="26"/>
      <x:c r="M10" s="26"/>
      <x:c r="N10" s="26"/>
      <x:c r="Q10" s="26"/>
      <x:c r="R10" s="26"/>
      <x:c r="S10" s="26"/>
      <x:c r="Z10" s="26"/>
    </x:row>
    <x:row r="11">
      <x:c r="F11" s="26"/>
      <x:c r="G11" s="26"/>
      <x:c r="H11" s="26"/>
      <x:c r="I11" s="26"/>
      <x:c r="J11" s="26"/>
      <x:c r="M11" s="26"/>
      <x:c r="N11" s="26"/>
      <x:c r="Q11" s="26"/>
      <x:c r="R11" s="26"/>
      <x:c r="S11" s="26"/>
      <x:c r="Z11" s="26"/>
    </x:row>
    <x:row r="12">
      <x:c r="F12" s="26"/>
      <x:c r="G12" s="26"/>
      <x:c r="H12" s="26"/>
      <x:c r="I12" s="26"/>
      <x:c r="J12" s="26"/>
      <x:c r="M12" s="26"/>
      <x:c r="N12" s="26"/>
      <x:c r="Q12" s="26"/>
      <x:c r="R12" s="26"/>
      <x:c r="S12" s="26"/>
      <x:c r="Z12" s="26"/>
    </x:row>
  </x:sheetData>
  <x:autoFilter ref="A1:Z7"/>
  <x:pageMargins left="0.7" right="0.7" top="0.75" bottom="0.75" header="0.3" footer="0.3"/>
  <x:drawing xmlns:r="http://schemas.openxmlformats.org/officeDocument/2006/relationships" r:id="Rc7f82bf2bbe54145"/>
</x:worksheet>
</file>

<file path=xl/worksheets/sheet6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  <x:col min="40" max="40" width="25" hidden="0" customWidth="1"/>
  </x:cols>
  <x:sheetData>
    <x:row r="1" ht="32" customHeight="1">
      <x:c r="A1" s="22" t="str">
        <x:v>Bank</x:v>
      </x:c>
      <x:c r="B1" s="22" t="str">
        <x:v>Field</x:v>
      </x:c>
      <x:c r="C1" s="22" t="str">
        <x:v>AI-extracted value</x:v>
      </x:c>
      <x:c r="D1" s="22" t="str">
        <x:v>Verified value</x:v>
      </x:c>
      <x:c r="E1" s="22" t="str">
        <x:v>Source page</x:v>
      </x:c>
      <x:c r="F1" s="22" t="str">
        <x:v>Result</x:v>
      </x:c>
      <x:c r="G1" s="22" t="str">
        <x:v>Error type</x:v>
      </x:c>
      <x:c r="H1" s="22" t="str">
        <x:v>Notes</x:v>
      </x:c>
      <x:c r="I1" s="22"/>
      <x:c r="J1" s="22" t="str">
        <x:v>Verification summary</x:v>
      </x:c>
      <x:c r="K1" s="22" t="str">
        <x:v>Value</x:v>
      </x:c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</x:row>
    <x:row r="2">
      <x:c r="A2" t="str">
        <x:v>RY</x:v>
      </x:c>
      <x:c r="B2" t="str">
        <x:v>Months CEO FY25</x:v>
      </x:c>
      <x:c r="C2" t="n">
        <x:v>12</x:v>
      </x:c>
      <x:c r="D2"/>
      <x:c r="E2" t="str">
        <x:v>SCT 87/PDF90; CD&amp;A 79/PDF82, 80-81/PDF82-83; earnings 98/PDF101; vote PDF1</x:v>
      </x:c>
      <x:c r="F2"/>
      <x:c r="G2"/>
      <x:c r="H2" t="str">
        <x:v>Independent reviewer entry required; source pages cover sections, not always exact cell.</x:v>
      </x:c>
      <x:c r="J2" t="str">
        <x:v>Total points</x:v>
      </x:c>
      <x:c r="K2" t="n">
        <x:f>COUNTA(A2:A176)</x:f>
        <x:v>175</x:v>
      </x:c>
    </x:row>
    <x:row r="3">
      <x:c r="A3" t="str">
        <x:v>RY</x:v>
      </x:c>
      <x:c r="B3" t="str">
        <x:v>Salary25 $000</x:v>
      </x:c>
      <x:c r="C3" t="n">
        <x:v>2000</x:v>
      </x:c>
      <x:c r="D3"/>
      <x:c r="E3" t="str">
        <x:v>SCT 87/PDF90; CD&amp;A 79/PDF82, 80-81/PDF82-83; earnings 98/PDF101; vote PDF1</x:v>
      </x:c>
      <x:c r="F3"/>
      <x:c r="G3"/>
      <x:c r="H3" t="str">
        <x:v>Independent reviewer entry required; source pages cover sections, not always exact cell.</x:v>
      </x:c>
      <x:c r="J3" t="str">
        <x:v>Verified</x:v>
      </x:c>
      <x:c r="K3" t="n">
        <x:f>COUNTIF(F2:F176,"Match")+COUNTIF(F2:F176,"AI error")+COUNTIF(F2:F176,"AI omission")</x:f>
        <x:v>0</x:v>
      </x:c>
    </x:row>
    <x:row r="4">
      <x:c r="A4" t="str">
        <x:v>RY</x:v>
      </x:c>
      <x:c r="B4" t="str">
        <x:v>Shares25 $000</x:v>
      </x:c>
      <x:c r="C4" t="n">
        <x:v>10120</x:v>
      </x:c>
      <x:c r="D4"/>
      <x:c r="E4" t="str">
        <x:v>SCT 87/PDF90; CD&amp;A 79/PDF82, 80-81/PDF82-83; earnings 98/PDF101; vote PDF1</x:v>
      </x:c>
      <x:c r="F4"/>
      <x:c r="G4"/>
      <x:c r="H4" t="str">
        <x:v>Independent reviewer entry required; source pages cover sections, not always exact cell.</x:v>
      </x:c>
      <x:c r="J4" t="str">
        <x:v>Matches</x:v>
      </x:c>
      <x:c r="K4" t="n">
        <x:f>COUNTIF(F2:F176,"Match")</x:f>
        <x:v>0</x:v>
      </x:c>
    </x:row>
    <x:row r="5">
      <x:c r="A5" t="str">
        <x:v>RY</x:v>
      </x:c>
      <x:c r="B5" t="str">
        <x:v>Options25 $000</x:v>
      </x:c>
      <x:c r="C5" t="n">
        <x:v>2530</x:v>
      </x:c>
      <x:c r="D5"/>
      <x:c r="E5" t="str">
        <x:v>SCT 87/PDF90; CD&amp;A 79/PDF82, 80-81/PDF82-83; earnings 98/PDF101; vote PDF1</x:v>
      </x:c>
      <x:c r="F5"/>
      <x:c r="G5"/>
      <x:c r="H5" t="str">
        <x:v>Independent reviewer entry required; source pages cover sections, not always exact cell.</x:v>
      </x:c>
      <x:c r="J5" t="str">
        <x:v>Errors</x:v>
      </x:c>
      <x:c r="K5" t="n">
        <x:f>COUNTIF(F2:F176,"AI error")</x:f>
        <x:v>0</x:v>
      </x:c>
    </x:row>
    <x:row r="6">
      <x:c r="A6" t="str">
        <x:v>RY</x:v>
      </x:c>
      <x:c r="B6" t="str">
        <x:v>STI25 $000</x:v>
      </x:c>
      <x:c r="C6" t="n">
        <x:v>7440</x:v>
      </x:c>
      <x:c r="D6"/>
      <x:c r="E6" t="str">
        <x:v>SCT 87/PDF90; CD&amp;A 79/PDF82, 80-81/PDF82-83; earnings 98/PDF101; vote PDF1</x:v>
      </x:c>
      <x:c r="F6"/>
      <x:c r="G6"/>
      <x:c r="H6" t="str">
        <x:v>Independent reviewer entry required; source pages cover sections, not always exact cell.</x:v>
      </x:c>
      <x:c r="J6" t="str">
        <x:v>Omissions</x:v>
      </x:c>
      <x:c r="K6" t="n">
        <x:f>COUNTIF(F2:F176,"AI omission")</x:f>
        <x:v>0</x:v>
      </x:c>
    </x:row>
    <x:row r="7">
      <x:c r="A7" t="str">
        <x:v>RY</x:v>
      </x:c>
      <x:c r="B7" t="str">
        <x:v>Pension25 $000</x:v>
      </x:c>
      <x:c r="C7" t="n">
        <x:v>1606</x:v>
      </x:c>
      <x:c r="D7"/>
      <x:c r="E7" t="str">
        <x:v>SCT 87/PDF90; CD&amp;A 79/PDF82, 80-81/PDF82-83; earnings 98/PDF101; vote PDF1</x:v>
      </x:c>
      <x:c r="F7"/>
      <x:c r="G7"/>
      <x:c r="H7" t="str">
        <x:v>Independent reviewer entry required; source pages cover sections, not always exact cell.</x:v>
      </x:c>
      <x:c r="J7" t="str">
        <x:v>Error rate</x:v>
      </x:c>
      <x:c r="K7" s="26" t="str">
        <x:f>IF(K3=0,"N/A",(K5+K6)/K3)</x:f>
        <x:v>N/A</x:v>
      </x:c>
    </x:row>
    <x:row r="8">
      <x:c r="A8" t="str">
        <x:v>RY</x:v>
      </x:c>
      <x:c r="B8" t="str">
        <x:v>Other25 $000</x:v>
      </x:c>
      <x:c r="C8" t="n">
        <x:v>60</x:v>
      </x:c>
      <x:c r="D8"/>
      <x:c r="E8" t="str">
        <x:v>SCT 87/PDF90; CD&amp;A 79/PDF82, 80-81/PDF82-83; earnings 98/PDF101; vote PDF1</x:v>
      </x:c>
      <x:c r="F8"/>
      <x:c r="G8"/>
      <x:c r="H8" t="str">
        <x:v>Independent reviewer entry required; source pages cover sections, not always exact cell.</x:v>
      </x:c>
    </x:row>
    <x:row r="9">
      <x:c r="A9" t="str">
        <x:v>RY</x:v>
      </x:c>
      <x:c r="B9" t="str">
        <x:v>SCT25 $000</x:v>
      </x:c>
      <x:c r="C9" t="n">
        <x:v>23756</x:v>
      </x:c>
      <x:c r="D9"/>
      <x:c r="E9" t="str">
        <x:v>SCT 87/PDF90; CD&amp;A 79/PDF82, 80-81/PDF82-83; earnings 98/PDF101; vote PDF1</x:v>
      </x:c>
      <x:c r="F9"/>
      <x:c r="G9"/>
      <x:c r="H9" t="str">
        <x:v>Independent reviewer entry required; source pages cover sections, not always exact cell.</x:v>
      </x:c>
    </x:row>
    <x:row r="10">
      <x:c r="A10" t="str">
        <x:v>RY</x:v>
      </x:c>
      <x:c r="B10" t="str">
        <x:v>Salary24 $000</x:v>
      </x:c>
      <x:c r="C10" t="n">
        <x:v>1917</x:v>
      </x:c>
      <x:c r="D10"/>
      <x:c r="E10" t="str">
        <x:v>SCT 87/PDF90; CD&amp;A 79/PDF82, 80-81/PDF82-83; earnings 98/PDF101; vote PDF1</x:v>
      </x:c>
      <x:c r="F10"/>
      <x:c r="G10"/>
      <x:c r="H10" t="str">
        <x:v>Independent reviewer entry required; source pages cover sections, not always exact cell.</x:v>
      </x:c>
    </x:row>
    <x:row r="11">
      <x:c r="A11" t="str">
        <x:v>RY</x:v>
      </x:c>
      <x:c r="B11" t="str">
        <x:v>Shares24 $000</x:v>
      </x:c>
      <x:c r="C11" t="n">
        <x:v>13460</x:v>
      </x:c>
      <x:c r="D11"/>
      <x:c r="E11" t="str">
        <x:v>SCT 87/PDF90; CD&amp;A 79/PDF82, 80-81/PDF82-83; earnings 98/PDF101; vote PDF1</x:v>
      </x:c>
      <x:c r="F11"/>
      <x:c r="G11"/>
      <x:c r="H11" t="str">
        <x:v>Independent reviewer entry required; source pages cover sections, not always exact cell.</x:v>
      </x:c>
    </x:row>
    <x:row r="12">
      <x:c r="A12" t="str">
        <x:v>RY</x:v>
      </x:c>
      <x:c r="B12" t="str">
        <x:v>Options24 $000</x:v>
      </x:c>
      <x:c r="C12" t="n">
        <x:v>2365</x:v>
      </x:c>
      <x:c r="D12"/>
      <x:c r="E12" t="str">
        <x:v>SCT 87/PDF90; CD&amp;A 79/PDF82, 80-81/PDF82-83; earnings 98/PDF101; vote PDF1</x:v>
      </x:c>
      <x:c r="F12"/>
      <x:c r="G12"/>
      <x:c r="H12" t="str">
        <x:v>Independent reviewer entry required; source pages cover sections, not always exact cell.</x:v>
      </x:c>
    </x:row>
    <x:row r="13">
      <x:c r="A13" t="str">
        <x:v>RY</x:v>
      </x:c>
      <x:c r="B13" t="str">
        <x:v>STI24 $000</x:v>
      </x:c>
      <x:c r="C13" t="n">
        <x:v>6668</x:v>
      </x:c>
      <x:c r="D13"/>
      <x:c r="E13" t="str">
        <x:v>SCT 87/PDF90; CD&amp;A 79/PDF82, 80-81/PDF82-83; earnings 98/PDF101; vote PDF1</x:v>
      </x:c>
      <x:c r="F13"/>
      <x:c r="G13"/>
      <x:c r="H13" t="str">
        <x:v>Independent reviewer entry required; source pages cover sections, not always exact cell.</x:v>
      </x:c>
    </x:row>
    <x:row r="14">
      <x:c r="A14" t="str">
        <x:v>RY</x:v>
      </x:c>
      <x:c r="B14" t="str">
        <x:v>Pension24 $000</x:v>
      </x:c>
      <x:c r="C14" t="n">
        <x:v>1505</x:v>
      </x:c>
      <x:c r="D14"/>
      <x:c r="E14" t="str">
        <x:v>SCT 87/PDF90; CD&amp;A 79/PDF82, 80-81/PDF82-83; earnings 98/PDF101; vote PDF1</x:v>
      </x:c>
      <x:c r="F14"/>
      <x:c r="G14"/>
      <x:c r="H14" t="str">
        <x:v>Independent reviewer entry required; source pages cover sections, not always exact cell.</x:v>
      </x:c>
    </x:row>
    <x:row r="15">
      <x:c r="A15" t="str">
        <x:v>RY</x:v>
      </x:c>
      <x:c r="B15" t="str">
        <x:v>Other24 $000</x:v>
      </x:c>
      <x:c r="C15" t="n">
        <x:v>57</x:v>
      </x:c>
      <x:c r="D15"/>
      <x:c r="E15" t="str">
        <x:v>SCT 87/PDF90; CD&amp;A 79/PDF82, 80-81/PDF82-83; earnings 98/PDF101; vote PDF1</x:v>
      </x:c>
      <x:c r="F15"/>
      <x:c r="G15"/>
      <x:c r="H15" t="str">
        <x:v>Independent reviewer entry required; source pages cover sections, not always exact cell.</x:v>
      </x:c>
    </x:row>
    <x:row r="16">
      <x:c r="A16" t="str">
        <x:v>RY</x:v>
      </x:c>
      <x:c r="B16" t="str">
        <x:v>SCT24 $000</x:v>
      </x:c>
      <x:c r="C16" t="n">
        <x:v>25972</x:v>
      </x:c>
      <x:c r="D16"/>
      <x:c r="E16" t="str">
        <x:v>SCT 87/PDF90; CD&amp;A 79/PDF82, 80-81/PDF82-83; earnings 98/PDF101; vote PDF1</x:v>
      </x:c>
      <x:c r="F16"/>
      <x:c r="G16"/>
      <x:c r="H16" t="str">
        <x:v>Independent reviewer entry required; source pages cover sections, not always exact cell.</x:v>
      </x:c>
    </x:row>
    <x:row r="17">
      <x:c r="A17" t="str">
        <x:v>RY</x:v>
      </x:c>
      <x:c r="B17" t="str">
        <x:v>Target TDC25 $000</x:v>
      </x:c>
      <x:c r="C17" t="n">
        <x:v>17000</x:v>
      </x:c>
      <x:c r="D17"/>
      <x:c r="E17" t="str">
        <x:v>SCT 87/PDF90; CD&amp;A 79/PDF82, 80-81/PDF82-83; earnings 98/PDF101; vote PDF1</x:v>
      </x:c>
      <x:c r="F17"/>
      <x:c r="G17"/>
      <x:c r="H17" t="str">
        <x:v>Independent reviewer entry required; source pages cover sections, not always exact cell.</x:v>
      </x:c>
    </x:row>
    <x:row r="18">
      <x:c r="A18" t="str">
        <x:v>RY</x:v>
      </x:c>
      <x:c r="B18" t="str">
        <x:v>Actual TDC25 $000 disclosed</x:v>
      </x:c>
      <x:c r="C18" t="n">
        <x:v>22090</x:v>
      </x:c>
      <x:c r="D18"/>
      <x:c r="E18" t="str">
        <x:v>SCT 87/PDF90; CD&amp;A 79/PDF82, 80-81/PDF82-83; earnings 98/PDF101; vote PDF1</x:v>
      </x:c>
      <x:c r="F18"/>
      <x:c r="G18"/>
      <x:c r="H18" t="str">
        <x:v>Independent reviewer entry required; source pages cover sections, not always exact cell.</x:v>
      </x:c>
    </x:row>
    <x:row r="19">
      <x:c r="A19" t="str">
        <x:v>RY</x:v>
      </x:c>
      <x:c r="B19" t="str">
        <x:v>Adjusted NI25 $M</x:v>
      </x:c>
      <x:c r="C19" t="n">
        <x:v>20369</x:v>
      </x:c>
      <x:c r="D19"/>
      <x:c r="E19" t="str">
        <x:v>SCT 87/PDF90; CD&amp;A 79/PDF82, 80-81/PDF82-83; earnings 98/PDF101; vote PDF1</x:v>
      </x:c>
      <x:c r="F19"/>
      <x:c r="G19"/>
      <x:c r="H19" t="str">
        <x:v>Independent reviewer entry required; source pages cover sections, not always exact cell.</x:v>
      </x:c>
    </x:row>
    <x:row r="20">
      <x:c r="A20" t="str">
        <x:v>RY</x:v>
      </x:c>
      <x:c r="B20" t="str">
        <x:v>Reported NI25 $M</x:v>
      </x:c>
      <x:c r="C20" t="n">
        <x:v>20369</x:v>
      </x:c>
      <x:c r="D20"/>
      <x:c r="E20" t="str">
        <x:v>SCT 87/PDF90; CD&amp;A 79/PDF82, 80-81/PDF82-83; earnings 98/PDF101; vote PDF1</x:v>
      </x:c>
      <x:c r="F20"/>
      <x:c r="G20"/>
      <x:c r="H20" t="str">
        <x:v>Independent reviewer entry required; source pages cover sections, not always exact cell.</x:v>
      </x:c>
    </x:row>
    <x:row r="21">
      <x:c r="A21" t="str">
        <x:v>RY</x:v>
      </x:c>
      <x:c r="B21" t="str">
        <x:v>Say on Pay %</x:v>
      </x:c>
      <x:c r="C21" t="n">
        <x:v>0.9704999999999999</x:v>
      </x:c>
      <x:c r="D21"/>
      <x:c r="E21" t="str">
        <x:v>2026 voting results: SCT 87/PDF90; CD&amp;A 79/PDF82, 80-81/PDF82-83; earnings 98/PDF101; vote PDF1</x:v>
      </x:c>
      <x:c r="F21"/>
      <x:c r="G21"/>
      <x:c r="H21" t="str">
        <x:v>Independent reviewer entry required; source pages cover sections, not always exact cell.</x:v>
      </x:c>
    </x:row>
    <x:row r="22">
      <x:c r="A22" t="str">
        <x:v>RY</x:v>
      </x:c>
      <x:c r="B22" t="str">
        <x:v>Special24 $000</x:v>
      </x:c>
      <x:c r="C22" t="n">
        <x:v>4000</x:v>
      </x:c>
      <x:c r="D22"/>
      <x:c r="E22" t="str">
        <x:v>SCT 87/PDF90; CD&amp;A 79/PDF82, 80-81/PDF82-83; earnings 98/PDF101; vote PDF1</x:v>
      </x:c>
      <x:c r="F22"/>
      <x:c r="G22"/>
      <x:c r="H22" t="str">
        <x:v>Independent reviewer entry required; source pages cover sections, not always exact cell.</x:v>
      </x:c>
    </x:row>
    <x:row r="23">
      <x:c r="A23" t="str">
        <x:v>RY</x:v>
      </x:c>
      <x:c r="B23" t="str">
        <x:v>Special25 $000</x:v>
      </x:c>
      <x:c r="C23" t="n">
        <x:v>0</x:v>
      </x:c>
      <x:c r="D23"/>
      <x:c r="E23" t="str">
        <x:v>SCT 87/PDF90; CD&amp;A 79/PDF82, 80-81/PDF82-83; earnings 98/PDF101; vote PDF1</x:v>
      </x:c>
      <x:c r="F23"/>
      <x:c r="G23"/>
      <x:c r="H23" t="str">
        <x:v>Independent reviewer entry required; source pages cover sections, not always exact cell.</x:v>
      </x:c>
    </x:row>
    <x:row r="24">
      <x:c r="A24" t="str">
        <x:v>RY</x:v>
      </x:c>
      <x:c r="B24" t="str">
        <x:v>CEO STI target $000</x:v>
      </x:c>
      <x:c r="C24" t="n">
        <x:v>4000</x:v>
      </x:c>
      <x:c r="D24"/>
      <x:c r="E24" t="str">
        <x:v>SCT 87/PDF90; CD&amp;A 79/PDF82, 80-81/PDF82-83; earnings 98/PDF101; vote PDF1</x:v>
      </x:c>
      <x:c r="F24"/>
      <x:c r="G24"/>
      <x:c r="H24" t="str">
        <x:v>Independent reviewer entry required; source pages cover sections, not always exact cell.</x:v>
      </x:c>
    </x:row>
    <x:row r="25">
      <x:c r="A25" t="str">
        <x:v>RY</x:v>
      </x:c>
      <x:c r="B25" t="str">
        <x:v>CEO award/target %</x:v>
      </x:c>
      <x:c r="C25" t="n">
        <x:v>1.86</x:v>
      </x:c>
      <x:c r="D25"/>
      <x:c r="E25" t="str">
        <x:v>SCT 87/PDF90; CD&amp;A 79/PDF82, 80-81/PDF82-83; earnings 98/PDF101; vote PDF1</x:v>
      </x:c>
      <x:c r="F25"/>
      <x:c r="G25"/>
      <x:c r="H25" t="str">
        <x:v>Independent reviewer entry required; source pages cover sections, not always exact cell.</x:v>
      </x:c>
    </x:row>
    <x:row r="26">
      <x:c r="A26" t="str">
        <x:v>RY</x:v>
      </x:c>
      <x:c r="B26" t="str">
        <x:v>PSU % of LTI</x:v>
      </x:c>
      <x:c r="C26" t="n">
        <x:v>0.8</x:v>
      </x:c>
      <x:c r="D26"/>
      <x:c r="E26" t="str">
        <x:v>SCT 87/PDF90; CD&amp;A 79/PDF82, 80-81/PDF82-83; earnings 98/PDF101; vote PDF1</x:v>
      </x:c>
      <x:c r="F26"/>
      <x:c r="G26"/>
      <x:c r="H26" t="str">
        <x:v>Independent reviewer entry required; source pages cover sections, not always exact cell.</x:v>
      </x:c>
    </x:row>
    <x:row r="27">
      <x:c r="A27" t="str">
        <x:v>RY</x:v>
      </x:c>
      <x:c r="B27" t="str">
        <x:v>Options % of LTI</x:v>
      </x:c>
      <x:c r="C27" t="n">
        <x:v>0.2</x:v>
      </x:c>
      <x:c r="D27"/>
      <x:c r="E27" t="str">
        <x:v>SCT 87/PDF90; CD&amp;A 79/PDF82, 80-81/PDF82-83; earnings 98/PDF101; vote PDF1</x:v>
      </x:c>
      <x:c r="F27"/>
      <x:c r="G27"/>
      <x:c r="H27" t="str">
        <x:v>Independent reviewer entry required; source pages cover sections, not always exact cell.</x:v>
      </x:c>
    </x:row>
    <x:row r="28">
      <x:c r="A28" t="str">
        <x:v>RY</x:v>
      </x:c>
      <x:c r="B28" t="str">
        <x:v>RSU % of LTI</x:v>
      </x:c>
      <x:c r="C28" t="n">
        <x:v>0</x:v>
      </x:c>
      <x:c r="D28"/>
      <x:c r="E28" t="str">
        <x:v>SCT 87/PDF90; CD&amp;A 79/PDF82, 80-81/PDF82-83; earnings 98/PDF101; vote PDF1</x:v>
      </x:c>
      <x:c r="F28"/>
      <x:c r="G28"/>
      <x:c r="H28" t="str">
        <x:v>Independent reviewer entry required; source pages cover sections, not always exact cell.</x:v>
      </x:c>
    </x:row>
    <x:row r="29">
      <x:c r="A29" t="str">
        <x:v>RY</x:v>
      </x:c>
      <x:c r="B29" t="str">
        <x:v>PSU payout min %</x:v>
      </x:c>
      <x:c r="C29" t="n">
        <x:v>0.75</x:v>
      </x:c>
      <x:c r="D29"/>
      <x:c r="E29" t="str">
        <x:v>SCT 87/PDF90; CD&amp;A 79/PDF82, 80-81/PDF82-83; earnings 98/PDF101; vote PDF1</x:v>
      </x:c>
      <x:c r="F29"/>
      <x:c r="G29"/>
      <x:c r="H29" t="str">
        <x:v>Independent reviewer entry required; source pages cover sections, not always exact cell.</x:v>
      </x:c>
    </x:row>
    <x:row r="30">
      <x:c r="A30" t="str">
        <x:v>RY</x:v>
      </x:c>
      <x:c r="B30" t="str">
        <x:v>PSU payout max %</x:v>
      </x:c>
      <x:c r="C30" t="n">
        <x:v>1.25</x:v>
      </x:c>
      <x:c r="D30"/>
      <x:c r="E30" t="str">
        <x:v>SCT 87/PDF90; CD&amp;A 79/PDF82, 80-81/PDF82-83; earnings 98/PDF101; vote PDF1</x:v>
      </x:c>
      <x:c r="F30"/>
      <x:c r="G30"/>
      <x:c r="H30" t="str">
        <x:v>Independent reviewer entry required; source pages cover sections, not always exact cell.</x:v>
      </x:c>
    </x:row>
    <x:row r="31">
      <x:c r="A31" t="str">
        <x:v>TD</x:v>
      </x:c>
      <x:c r="B31" t="str">
        <x:v>Months CEO FY25</x:v>
      </x:c>
      <x:c r="C31" t="n">
        <x:v>9</x:v>
      </x:c>
      <x:c r="D31"/>
      <x:c r="E31" t="str">
        <x:v>SCT 107/PDF112; initial BPF 84/PDF89; final BPF 99/PDF104; earnings 91/PDF96; vote HTML item3</x:v>
      </x:c>
      <x:c r="F31"/>
      <x:c r="G31"/>
      <x:c r="H31" t="str">
        <x:v>Independent reviewer entry required; source pages cover sections, not always exact cell.</x:v>
      </x:c>
    </x:row>
    <x:row r="32">
      <x:c r="A32" t="str">
        <x:v>TD</x:v>
      </x:c>
      <x:c r="B32" t="str">
        <x:v>Salary25 $000</x:v>
      </x:c>
      <x:c r="C32" t="n">
        <x:v>1151</x:v>
      </x:c>
      <x:c r="D32"/>
      <x:c r="E32" t="str">
        <x:v>SCT 107/PDF112; initial BPF 84/PDF89; final BPF 99/PDF104; earnings 91/PDF96; vote HTML item3</x:v>
      </x:c>
      <x:c r="F32"/>
      <x:c r="G32"/>
      <x:c r="H32" t="str">
        <x:v>Independent reviewer entry required; source pages cover sections, not always exact cell.</x:v>
      </x:c>
    </x:row>
    <x:row r="33">
      <x:c r="A33" t="str">
        <x:v>TD</x:v>
      </x:c>
      <x:c r="B33" t="str">
        <x:v>Shares25 $000</x:v>
      </x:c>
      <x:c r="C33" t="n">
        <x:v>6630</x:v>
      </x:c>
      <x:c r="D33"/>
      <x:c r="E33" t="str">
        <x:v>SCT 107/PDF112; initial BPF 84/PDF89; final BPF 99/PDF104; earnings 91/PDF96; vote HTML item3</x:v>
      </x:c>
      <x:c r="F33"/>
      <x:c r="G33"/>
      <x:c r="H33" t="str">
        <x:v>Independent reviewer entry required; source pages cover sections, not always exact cell.</x:v>
      </x:c>
    </x:row>
    <x:row r="34">
      <x:c r="A34" t="str">
        <x:v>TD</x:v>
      </x:c>
      <x:c r="B34" t="str">
        <x:v>Options25 $000</x:v>
      </x:c>
      <x:c r="C34" t="n">
        <x:v>3265</x:v>
      </x:c>
      <x:c r="D34"/>
      <x:c r="E34" t="str">
        <x:v>SCT 107/PDF112; initial BPF 84/PDF89; final BPF 99/PDF104; earnings 91/PDF96; vote HTML item3</x:v>
      </x:c>
      <x:c r="F34"/>
      <x:c r="G34"/>
      <x:c r="H34" t="str">
        <x:v>Independent reviewer entry required; source pages cover sections, not always exact cell.</x:v>
      </x:c>
    </x:row>
    <x:row r="35">
      <x:c r="A35" t="str">
        <x:v>TD</x:v>
      </x:c>
      <x:c r="B35" t="str">
        <x:v>STI25 $000</x:v>
      </x:c>
      <x:c r="C35" t="n">
        <x:v>2630</x:v>
      </x:c>
      <x:c r="D35"/>
      <x:c r="E35" t="str">
        <x:v>SCT 107/PDF112; initial BPF 84/PDF89; final BPF 99/PDF104; earnings 91/PDF96; vote HTML item3</x:v>
      </x:c>
      <x:c r="F35"/>
      <x:c r="G35"/>
      <x:c r="H35" t="str">
        <x:v>Independent reviewer entry required; source pages cover sections, not always exact cell.</x:v>
      </x:c>
    </x:row>
    <x:row r="36">
      <x:c r="A36" t="str">
        <x:v>TD</x:v>
      </x:c>
      <x:c r="B36" t="str">
        <x:v>Pension25 $000</x:v>
      </x:c>
      <x:c r="C36" t="n">
        <x:v>812</x:v>
      </x:c>
      <x:c r="D36"/>
      <x:c r="E36" t="str">
        <x:v>SCT 107/PDF112; initial BPF 84/PDF89; final BPF 99/PDF104; earnings 91/PDF96; vote HTML item3</x:v>
      </x:c>
      <x:c r="F36"/>
      <x:c r="G36"/>
      <x:c r="H36" t="str">
        <x:v>Independent reviewer entry required; source pages cover sections, not always exact cell.</x:v>
      </x:c>
    </x:row>
    <x:row r="37">
      <x:c r="A37" t="str">
        <x:v>TD</x:v>
      </x:c>
      <x:c r="B37" t="str">
        <x:v>Other25 $000</x:v>
      </x:c>
      <x:c r="C37" t="n">
        <x:v>86</x:v>
      </x:c>
      <x:c r="D37"/>
      <x:c r="E37" t="str">
        <x:v>SCT 107/PDF112; initial BPF 84/PDF89; final BPF 99/PDF104; earnings 91/PDF96; vote HTML item3</x:v>
      </x:c>
      <x:c r="F37"/>
      <x:c r="G37"/>
      <x:c r="H37" t="str">
        <x:v>Independent reviewer entry required; source pages cover sections, not always exact cell.</x:v>
      </x:c>
    </x:row>
    <x:row r="38">
      <x:c r="A38" t="str">
        <x:v>TD</x:v>
      </x:c>
      <x:c r="B38" t="str">
        <x:v>SCT25 $000</x:v>
      </x:c>
      <x:c r="C38" t="n">
        <x:v>14574</x:v>
      </x:c>
      <x:c r="D38"/>
      <x:c r="E38" t="str">
        <x:v>SCT 107/PDF112; initial BPF 84/PDF89; final BPF 99/PDF104; earnings 91/PDF96; vote HTML item3</x:v>
      </x:c>
      <x:c r="F38"/>
      <x:c r="G38"/>
      <x:c r="H38" t="str">
        <x:v>Independent reviewer entry required; source pages cover sections, not always exact cell.</x:v>
      </x:c>
    </x:row>
    <x:row r="39">
      <x:c r="A39" t="str">
        <x:v>TD</x:v>
      </x:c>
      <x:c r="B39" t="str">
        <x:v>Salary24 $000</x:v>
      </x:c>
      <x:c r="C39" t="n">
        <x:v>738</x:v>
      </x:c>
      <x:c r="D39"/>
      <x:c r="E39" t="str">
        <x:v>SCT 107/PDF112; initial BPF 84/PDF89; final BPF 99/PDF104; earnings 91/PDF96; vote HTML item3</x:v>
      </x:c>
      <x:c r="F39"/>
      <x:c r="G39"/>
      <x:c r="H39" t="str">
        <x:v>Independent reviewer entry required; source pages cover sections, not always exact cell.</x:v>
      </x:c>
    </x:row>
    <x:row r="40">
      <x:c r="A40" t="str">
        <x:v>TD</x:v>
      </x:c>
      <x:c r="B40" t="str">
        <x:v>Shares24 $000</x:v>
      </x:c>
      <x:c r="C40" t="n">
        <x:v>1470</x:v>
      </x:c>
      <x:c r="D40"/>
      <x:c r="E40" t="str">
        <x:v>SCT 107/PDF112; initial BPF 84/PDF89; final BPF 99/PDF104; earnings 91/PDF96; vote HTML item3</x:v>
      </x:c>
      <x:c r="F40"/>
      <x:c r="G40"/>
      <x:c r="H40" t="str">
        <x:v>Independent reviewer entry required; source pages cover sections, not always exact cell.</x:v>
      </x:c>
    </x:row>
    <x:row r="41">
      <x:c r="A41" t="str">
        <x:v>TD</x:v>
      </x:c>
      <x:c r="B41" t="str">
        <x:v>Options24 $000</x:v>
      </x:c>
      <x:c r="C41" t="n">
        <x:v>724</x:v>
      </x:c>
      <x:c r="D41"/>
      <x:c r="E41" t="str">
        <x:v>SCT 107/PDF112; initial BPF 84/PDF89; final BPF 99/PDF104; earnings 91/PDF96; vote HTML item3</x:v>
      </x:c>
      <x:c r="F41"/>
      <x:c r="G41"/>
      <x:c r="H41" t="str">
        <x:v>Independent reviewer entry required; source pages cover sections, not always exact cell.</x:v>
      </x:c>
    </x:row>
    <x:row r="42">
      <x:c r="A42" t="str">
        <x:v>TD</x:v>
      </x:c>
      <x:c r="B42" t="str">
        <x:v>STI24 $000</x:v>
      </x:c>
      <x:c r="C42" t="n">
        <x:v>1181</x:v>
      </x:c>
      <x:c r="D42"/>
      <x:c r="E42" t="str">
        <x:v>SCT 107/PDF112; initial BPF 84/PDF89; final BPF 99/PDF104; earnings 91/PDF96; vote HTML item3</x:v>
      </x:c>
      <x:c r="F42"/>
      <x:c r="G42"/>
      <x:c r="H42" t="str">
        <x:v>Independent reviewer entry required; source pages cover sections, not always exact cell.</x:v>
      </x:c>
    </x:row>
    <x:row r="43">
      <x:c r="A43" t="str">
        <x:v>TD</x:v>
      </x:c>
      <x:c r="B43" t="str">
        <x:v>Pension24 $000</x:v>
      </x:c>
      <x:c r="C43" t="n">
        <x:v>118</x:v>
      </x:c>
      <x:c r="D43"/>
      <x:c r="E43" t="str">
        <x:v>SCT 107/PDF112; initial BPF 84/PDF89; final BPF 99/PDF104; earnings 91/PDF96; vote HTML item3</x:v>
      </x:c>
      <x:c r="F43"/>
      <x:c r="G43"/>
      <x:c r="H43" t="str">
        <x:v>Independent reviewer entry required; source pages cover sections, not always exact cell.</x:v>
      </x:c>
    </x:row>
    <x:row r="44">
      <x:c r="A44" t="str">
        <x:v>TD</x:v>
      </x:c>
      <x:c r="B44" t="str">
        <x:v>Other24 $000</x:v>
      </x:c>
      <x:c r="C44" t="n">
        <x:v>52</x:v>
      </x:c>
      <x:c r="D44"/>
      <x:c r="E44" t="str">
        <x:v>SCT 107/PDF112; initial BPF 84/PDF89; final BPF 99/PDF104; earnings 91/PDF96; vote HTML item3</x:v>
      </x:c>
      <x:c r="F44"/>
      <x:c r="G44"/>
      <x:c r="H44" t="str">
        <x:v>Independent reviewer entry required; source pages cover sections, not always exact cell.</x:v>
      </x:c>
    </x:row>
    <x:row r="45">
      <x:c r="A45" t="str">
        <x:v>TD</x:v>
      </x:c>
      <x:c r="B45" t="str">
        <x:v>SCT24 $000</x:v>
      </x:c>
      <x:c r="C45" t="n">
        <x:v>4282</x:v>
      </x:c>
      <x:c r="D45"/>
      <x:c r="E45" t="str">
        <x:v>SCT 107/PDF112; initial BPF 84/PDF89; final BPF 99/PDF104; earnings 91/PDF96; vote HTML item3</x:v>
      </x:c>
      <x:c r="F45"/>
      <x:c r="G45"/>
      <x:c r="H45" t="str">
        <x:v>Independent reviewer entry required; source pages cover sections, not always exact cell.</x:v>
      </x:c>
    </x:row>
    <x:row r="46">
      <x:c r="A46" t="str">
        <x:v>TD</x:v>
      </x:c>
      <x:c r="B46" t="str">
        <x:v>Target TDC25 $000</x:v>
      </x:c>
      <x:c r="C46" t="n">
        <x:v>12000</x:v>
      </x:c>
      <x:c r="D46"/>
      <x:c r="E46" t="str">
        <x:v>SCT 107/PDF112; initial BPF 84/PDF89; final BPF 99/PDF104; earnings 91/PDF96; vote HTML item3</x:v>
      </x:c>
      <x:c r="F46"/>
      <x:c r="G46"/>
      <x:c r="H46" t="str">
        <x:v>Independent reviewer entry required; source pages cover sections, not always exact cell.</x:v>
      </x:c>
    </x:row>
    <x:row r="47">
      <x:c r="A47" t="str">
        <x:v>TD</x:v>
      </x:c>
      <x:c r="B47" t="str">
        <x:v>Actual TDC25 $000 disclosed</x:v>
      </x:c>
      <x:c r="C47" t="n">
        <x:v>13675</x:v>
      </x:c>
      <x:c r="D47"/>
      <x:c r="E47" t="str">
        <x:v>SCT 107/PDF112; initial BPF 84/PDF89; final BPF 99/PDF104; earnings 91/PDF96; vote HTML item3</x:v>
      </x:c>
      <x:c r="F47"/>
      <x:c r="G47"/>
      <x:c r="H47" t="str">
        <x:v>Independent reviewer entry required; source pages cover sections, not always exact cell.</x:v>
      </x:c>
    </x:row>
    <x:row r="48">
      <x:c r="A48" t="str">
        <x:v>TD</x:v>
      </x:c>
      <x:c r="B48" t="str">
        <x:v>Final BPF %</x:v>
      </x:c>
      <x:c r="C48" t="n">
        <x:v>1.225</x:v>
      </x:c>
      <x:c r="D48"/>
      <x:c r="E48" t="str">
        <x:v>SCT 107/PDF112; initial BPF 84/PDF89; final BPF 99/PDF104; earnings 91/PDF96; vote HTML item3</x:v>
      </x:c>
      <x:c r="F48"/>
      <x:c r="G48"/>
      <x:c r="H48" t="str">
        <x:v>Independent reviewer entry required; source pages cover sections, not always exact cell.</x:v>
      </x:c>
    </x:row>
    <x:row r="49">
      <x:c r="A49" t="str">
        <x:v>TD</x:v>
      </x:c>
      <x:c r="B49" t="str">
        <x:v>Initial BPF %</x:v>
      </x:c>
      <x:c r="C49" t="n">
        <x:v>1.1540000000000001</x:v>
      </x:c>
      <x:c r="D49"/>
      <x:c r="E49" t="str">
        <x:v>SCT 107/PDF112; initial BPF 84/PDF89; final BPF 99/PDF104; earnings 91/PDF96; vote HTML item3</x:v>
      </x:c>
      <x:c r="F49"/>
      <x:c r="G49"/>
      <x:c r="H49" t="str">
        <x:v>Independent reviewer entry required; source pages cover sections, not always exact cell.</x:v>
      </x:c>
    </x:row>
    <x:row r="50">
      <x:c r="A50" t="str">
        <x:v>TD</x:v>
      </x:c>
      <x:c r="B50" t="str">
        <x:v>Adjusted NI25 $M</x:v>
      </x:c>
      <x:c r="C50" t="n">
        <x:v>15025</x:v>
      </x:c>
      <x:c r="D50"/>
      <x:c r="E50" t="str">
        <x:v>SCT 107/PDF112; initial BPF 84/PDF89; final BPF 99/PDF104; earnings 91/PDF96; vote HTML item3</x:v>
      </x:c>
      <x:c r="F50"/>
      <x:c r="G50"/>
      <x:c r="H50" t="str">
        <x:v>Independent reviewer entry required; source pages cover sections, not always exact cell.</x:v>
      </x:c>
    </x:row>
    <x:row r="51">
      <x:c r="A51" t="str">
        <x:v>TD</x:v>
      </x:c>
      <x:c r="B51" t="str">
        <x:v>Reported NI25 $M</x:v>
      </x:c>
      <x:c r="C51" t="n">
        <x:v>20538</x:v>
      </x:c>
      <x:c r="D51"/>
      <x:c r="E51" t="str">
        <x:v>SCT 107/PDF112; initial BPF 84/PDF89; final BPF 99/PDF104; earnings 91/PDF96; vote HTML item3</x:v>
      </x:c>
      <x:c r="F51"/>
      <x:c r="G51"/>
      <x:c r="H51" t="str">
        <x:v>Independent reviewer entry required; source pages cover sections, not always exact cell.</x:v>
      </x:c>
    </x:row>
    <x:row r="52">
      <x:c r="A52" t="str">
        <x:v>TD</x:v>
      </x:c>
      <x:c r="B52" t="str">
        <x:v>Say on Pay %</x:v>
      </x:c>
      <x:c r="C52" t="n">
        <x:v>0.95</x:v>
      </x:c>
      <x:c r="D52"/>
      <x:c r="E52" t="str">
        <x:v>2026 voting results: SCT 107/PDF112; initial BPF 84/PDF89; final BPF 99/PDF104; earnings 91/PDF96; vote HTML item3</x:v>
      </x:c>
      <x:c r="F52"/>
      <x:c r="G52"/>
      <x:c r="H52" t="str">
        <x:v>Independent reviewer entry required; source pages cover sections, not always exact cell.</x:v>
      </x:c>
    </x:row>
    <x:row r="53">
      <x:c r="A53" t="str">
        <x:v>TD</x:v>
      </x:c>
      <x:c r="B53" t="str">
        <x:v>Special24 $000</x:v>
      </x:c>
      <x:c r="C53" t="n">
        <x:v>0</x:v>
      </x:c>
      <x:c r="D53"/>
      <x:c r="E53" t="str">
        <x:v>SCT 107/PDF112; initial BPF 84/PDF89; final BPF 99/PDF104; earnings 91/PDF96; vote HTML item3</x:v>
      </x:c>
      <x:c r="F53"/>
      <x:c r="G53"/>
      <x:c r="H53" t="str">
        <x:v>Independent reviewer entry required; source pages cover sections, not always exact cell.</x:v>
      </x:c>
    </x:row>
    <x:row r="54">
      <x:c r="A54" t="str">
        <x:v>TD</x:v>
      </x:c>
      <x:c r="B54" t="str">
        <x:v>Special25 $000</x:v>
      </x:c>
      <x:c r="C54" t="n">
        <x:v>0</x:v>
      </x:c>
      <x:c r="D54"/>
      <x:c r="E54" t="str">
        <x:v>SCT 107/PDF112; initial BPF 84/PDF89; final BPF 99/PDF104; earnings 91/PDF96; vote HTML item3</x:v>
      </x:c>
      <x:c r="F54"/>
      <x:c r="G54"/>
      <x:c r="H54" t="str">
        <x:v>Independent reviewer entry required; source pages cover sections, not always exact cell.</x:v>
      </x:c>
    </x:row>
    <x:row r="55">
      <x:c r="A55" t="str">
        <x:v>TD</x:v>
      </x:c>
      <x:c r="B55" t="str">
        <x:v>PSU % of LTI</x:v>
      </x:c>
      <x:c r="C55" t="n">
        <x:v>0.67</x:v>
      </x:c>
      <x:c r="D55"/>
      <x:c r="E55" t="str">
        <x:v>SCT 107/PDF112; initial BPF 84/PDF89; final BPF 99/PDF104; earnings 91/PDF96; vote HTML item3</x:v>
      </x:c>
      <x:c r="F55"/>
      <x:c r="G55"/>
      <x:c r="H55" t="str">
        <x:v>Independent reviewer entry required; source pages cover sections, not always exact cell.</x:v>
      </x:c>
    </x:row>
    <x:row r="56">
      <x:c r="A56" t="str">
        <x:v>TD</x:v>
      </x:c>
      <x:c r="B56" t="str">
        <x:v>Options % of LTI</x:v>
      </x:c>
      <x:c r="C56" t="n">
        <x:v>0.33</x:v>
      </x:c>
      <x:c r="D56"/>
      <x:c r="E56" t="str">
        <x:v>SCT 107/PDF112; initial BPF 84/PDF89; final BPF 99/PDF104; earnings 91/PDF96; vote HTML item3</x:v>
      </x:c>
      <x:c r="F56"/>
      <x:c r="G56"/>
      <x:c r="H56" t="str">
        <x:v>Independent reviewer entry required; source pages cover sections, not always exact cell.</x:v>
      </x:c>
    </x:row>
    <x:row r="57">
      <x:c r="A57" t="str">
        <x:v>TD</x:v>
      </x:c>
      <x:c r="B57" t="str">
        <x:v>RSU % of LTI</x:v>
      </x:c>
      <x:c r="C57" t="n">
        <x:v>0</x:v>
      </x:c>
      <x:c r="D57"/>
      <x:c r="E57" t="str">
        <x:v>SCT 107/PDF112; initial BPF 84/PDF89; final BPF 99/PDF104; earnings 91/PDF96; vote HTML item3</x:v>
      </x:c>
      <x:c r="F57"/>
      <x:c r="G57"/>
      <x:c r="H57" t="str">
        <x:v>Independent reviewer entry required; source pages cover sections, not always exact cell.</x:v>
      </x:c>
    </x:row>
    <x:row r="58">
      <x:c r="A58" t="str">
        <x:v>TD</x:v>
      </x:c>
      <x:c r="B58" t="str">
        <x:v>PSU payout min %</x:v>
      </x:c>
      <x:c r="C58" t="n">
        <x:v>0.6</x:v>
      </x:c>
      <x:c r="D58"/>
      <x:c r="E58" t="str">
        <x:v>SCT 107/PDF112; initial BPF 84/PDF89; final BPF 99/PDF104; earnings 91/PDF96; vote HTML item3</x:v>
      </x:c>
      <x:c r="F58"/>
      <x:c r="G58"/>
      <x:c r="H58" t="str">
        <x:v>Independent reviewer entry required; source pages cover sections, not always exact cell.</x:v>
      </x:c>
    </x:row>
    <x:row r="59">
      <x:c r="A59" t="str">
        <x:v>TD</x:v>
      </x:c>
      <x:c r="B59" t="str">
        <x:v>PSU payout max %</x:v>
      </x:c>
      <x:c r="C59" t="n">
        <x:v>1.5</x:v>
      </x:c>
      <x:c r="D59"/>
      <x:c r="E59" t="str">
        <x:v>SCT 107/PDF112; initial BPF 84/PDF89; final BPF 99/PDF104; earnings 91/PDF96; vote HTML item3</x:v>
      </x:c>
      <x:c r="F59"/>
      <x:c r="G59"/>
      <x:c r="H59" t="str">
        <x:v>Independent reviewer entry required; source pages cover sections, not always exact cell.</x:v>
      </x:c>
    </x:row>
    <x:row r="60">
      <x:c r="A60" t="str">
        <x:v>BNS</x:v>
      </x:c>
      <x:c r="B60" t="str">
        <x:v>Months CEO FY25</x:v>
      </x:c>
      <x:c r="C60" t="n">
        <x:v>12</x:v>
      </x:c>
      <x:c r="D60"/>
      <x:c r="E60" t="str">
        <x:v>SCT 104/SEC HTML; CD&amp;A 92-97/SEC HTML; earnings 103/SEC HTML; vote PDF1</x:v>
      </x:c>
      <x:c r="F60"/>
      <x:c r="G60"/>
      <x:c r="H60" t="str">
        <x:v>Independent reviewer entry required; source pages cover sections, not always exact cell.</x:v>
      </x:c>
    </x:row>
    <x:row r="61">
      <x:c r="A61" t="str">
        <x:v>BNS</x:v>
      </x:c>
      <x:c r="B61" t="str">
        <x:v>Salary25 $000</x:v>
      </x:c>
      <x:c r="C61" t="n">
        <x:v>1100</x:v>
      </x:c>
      <x:c r="D61"/>
      <x:c r="E61" t="str">
        <x:v>SCT 104/SEC HTML; CD&amp;A 92-97/SEC HTML; earnings 103/SEC HTML; vote PDF1</x:v>
      </x:c>
      <x:c r="F61"/>
      <x:c r="G61"/>
      <x:c r="H61" t="str">
        <x:v>Independent reviewer entry required; source pages cover sections, not always exact cell.</x:v>
      </x:c>
    </x:row>
    <x:row r="62">
      <x:c r="A62" t="str">
        <x:v>BNS</x:v>
      </x:c>
      <x:c r="B62" t="str">
        <x:v>Shares25 $000</x:v>
      </x:c>
      <x:c r="C62" t="n">
        <x:v>6888</x:v>
      </x:c>
      <x:c r="D62"/>
      <x:c r="E62" t="str">
        <x:v>SCT 104/SEC HTML; CD&amp;A 92-97/SEC HTML; earnings 103/SEC HTML; vote PDF1</x:v>
      </x:c>
      <x:c r="F62"/>
      <x:c r="G62"/>
      <x:c r="H62" t="str">
        <x:v>Independent reviewer entry required; source pages cover sections, not always exact cell.</x:v>
      </x:c>
    </x:row>
    <x:row r="63">
      <x:c r="A63" t="str">
        <x:v>BNS</x:v>
      </x:c>
      <x:c r="B63" t="str">
        <x:v>Options25 $000</x:v>
      </x:c>
      <x:c r="C63" t="n">
        <x:v>1722</x:v>
      </x:c>
      <x:c r="D63"/>
      <x:c r="E63" t="str">
        <x:v>SCT 104/SEC HTML; CD&amp;A 92-97/SEC HTML; earnings 103/SEC HTML; vote PDF1</x:v>
      </x:c>
      <x:c r="F63"/>
      <x:c r="G63"/>
      <x:c r="H63" t="str">
        <x:v>Independent reviewer entry required; source pages cover sections, not always exact cell.</x:v>
      </x:c>
    </x:row>
    <x:row r="64">
      <x:c r="A64" t="str">
        <x:v>BNS</x:v>
      </x:c>
      <x:c r="B64" t="str">
        <x:v>STI25 $000</x:v>
      </x:c>
      <x:c r="C64" t="n">
        <x:v>2870</x:v>
      </x:c>
      <x:c r="D64"/>
      <x:c r="E64" t="str">
        <x:v>SCT 104/SEC HTML; CD&amp;A 92-97/SEC HTML; earnings 103/SEC HTML; vote PDF1</x:v>
      </x:c>
      <x:c r="F64"/>
      <x:c r="G64"/>
      <x:c r="H64" t="str">
        <x:v>Independent reviewer entry required; source pages cover sections, not always exact cell.</x:v>
      </x:c>
    </x:row>
    <x:row r="65">
      <x:c r="A65" t="str">
        <x:v>BNS</x:v>
      </x:c>
      <x:c r="B65" t="str">
        <x:v>Pension25 $000</x:v>
      </x:c>
      <x:c r="C65" t="n">
        <x:v>658</x:v>
      </x:c>
      <x:c r="D65"/>
      <x:c r="E65" t="str">
        <x:v>SCT 104/SEC HTML; CD&amp;A 92-97/SEC HTML; earnings 103/SEC HTML; vote PDF1</x:v>
      </x:c>
      <x:c r="F65"/>
      <x:c r="G65"/>
      <x:c r="H65" t="str">
        <x:v>Independent reviewer entry required; source pages cover sections, not always exact cell.</x:v>
      </x:c>
    </x:row>
    <x:row r="66">
      <x:c r="A66" t="str">
        <x:v>BNS</x:v>
      </x:c>
      <x:c r="B66" t="str">
        <x:v>Other25 $000</x:v>
      </x:c>
      <x:c r="C66" t="n">
        <x:v>4</x:v>
      </x:c>
      <x:c r="D66"/>
      <x:c r="E66" t="str">
        <x:v>SCT 104/SEC HTML; CD&amp;A 92-97/SEC HTML; earnings 103/SEC HTML; vote PDF1</x:v>
      </x:c>
      <x:c r="F66"/>
      <x:c r="G66"/>
      <x:c r="H66" t="str">
        <x:v>Independent reviewer entry required; source pages cover sections, not always exact cell.</x:v>
      </x:c>
    </x:row>
    <x:row r="67">
      <x:c r="A67" t="str">
        <x:v>BNS</x:v>
      </x:c>
      <x:c r="B67" t="str">
        <x:v>SCT25 $000</x:v>
      </x:c>
      <x:c r="C67" t="n">
        <x:v>13242</x:v>
      </x:c>
      <x:c r="D67"/>
      <x:c r="E67" t="str">
        <x:v>SCT 104/SEC HTML; CD&amp;A 92-97/SEC HTML; earnings 103/SEC HTML; vote PDF1</x:v>
      </x:c>
      <x:c r="F67"/>
      <x:c r="G67"/>
      <x:c r="H67" t="str">
        <x:v>Independent reviewer entry required; source pages cover sections, not always exact cell.</x:v>
      </x:c>
    </x:row>
    <x:row r="68">
      <x:c r="A68" t="str">
        <x:v>BNS</x:v>
      </x:c>
      <x:c r="B68" t="str">
        <x:v>Salary24 $000</x:v>
      </x:c>
      <x:c r="C68" t="n">
        <x:v>1000</x:v>
      </x:c>
      <x:c r="D68"/>
      <x:c r="E68" t="str">
        <x:v>SCT 104/SEC HTML; CD&amp;A 92-97/SEC HTML; earnings 103/SEC HTML; vote PDF1</x:v>
      </x:c>
      <x:c r="F68"/>
      <x:c r="G68"/>
      <x:c r="H68" t="str">
        <x:v>Independent reviewer entry required; source pages cover sections, not always exact cell.</x:v>
      </x:c>
    </x:row>
    <x:row r="69">
      <x:c r="A69" t="str">
        <x:v>BNS</x:v>
      </x:c>
      <x:c r="B69" t="str">
        <x:v>Shares24 $000</x:v>
      </x:c>
      <x:c r="C69" t="n">
        <x:v>5256</x:v>
      </x:c>
      <x:c r="D69"/>
      <x:c r="E69" t="str">
        <x:v>SCT 104/SEC HTML; CD&amp;A 92-97/SEC HTML; earnings 103/SEC HTML; vote PDF1</x:v>
      </x:c>
      <x:c r="F69"/>
      <x:c r="G69"/>
      <x:c r="H69" t="str">
        <x:v>Independent reviewer entry required; source pages cover sections, not always exact cell.</x:v>
      </x:c>
    </x:row>
    <x:row r="70">
      <x:c r="A70" t="str">
        <x:v>BNS</x:v>
      </x:c>
      <x:c r="B70" t="str">
        <x:v>Options24 $000</x:v>
      </x:c>
      <x:c r="C70" t="n">
        <x:v>1314</x:v>
      </x:c>
      <x:c r="D70"/>
      <x:c r="E70" t="str">
        <x:v>SCT 104/SEC HTML; CD&amp;A 92-97/SEC HTML; earnings 103/SEC HTML; vote PDF1</x:v>
      </x:c>
      <x:c r="F70"/>
      <x:c r="G70"/>
      <x:c r="H70" t="str">
        <x:v>Independent reviewer entry required; source pages cover sections, not always exact cell.</x:v>
      </x:c>
    </x:row>
    <x:row r="71">
      <x:c r="A71" t="str">
        <x:v>BNS</x:v>
      </x:c>
      <x:c r="B71" t="str">
        <x:v>STI24 $000</x:v>
      </x:c>
      <x:c r="C71" t="n">
        <x:v>2190</x:v>
      </x:c>
      <x:c r="D71"/>
      <x:c r="E71" t="str">
        <x:v>SCT 104/SEC HTML; CD&amp;A 92-97/SEC HTML; earnings 103/SEC HTML; vote PDF1</x:v>
      </x:c>
      <x:c r="F71"/>
      <x:c r="G71"/>
      <x:c r="H71" t="str">
        <x:v>Independent reviewer entry required; source pages cover sections, not always exact cell.</x:v>
      </x:c>
    </x:row>
    <x:row r="72">
      <x:c r="A72" t="str">
        <x:v>BNS</x:v>
      </x:c>
      <x:c r="B72" t="str">
        <x:v>Pension24 $000</x:v>
      </x:c>
      <x:c r="C72" t="n">
        <x:v>553</x:v>
      </x:c>
      <x:c r="D72"/>
      <x:c r="E72" t="str">
        <x:v>SCT 104/SEC HTML; CD&amp;A 92-97/SEC HTML; earnings 103/SEC HTML; vote PDF1</x:v>
      </x:c>
      <x:c r="F72"/>
      <x:c r="G72"/>
      <x:c r="H72" t="str">
        <x:v>Independent reviewer entry required; source pages cover sections, not always exact cell.</x:v>
      </x:c>
    </x:row>
    <x:row r="73">
      <x:c r="A73" t="str">
        <x:v>BNS</x:v>
      </x:c>
      <x:c r="B73" t="str">
        <x:v>Other24 $000</x:v>
      </x:c>
      <x:c r="C73" t="n">
        <x:v>4</x:v>
      </x:c>
      <x:c r="D73"/>
      <x:c r="E73" t="str">
        <x:v>SCT 104/SEC HTML; CD&amp;A 92-97/SEC HTML; earnings 103/SEC HTML; vote PDF1</x:v>
      </x:c>
      <x:c r="F73"/>
      <x:c r="G73"/>
      <x:c r="H73" t="str">
        <x:v>Independent reviewer entry required; source pages cover sections, not always exact cell.</x:v>
      </x:c>
    </x:row>
    <x:row r="74">
      <x:c r="A74" t="str">
        <x:v>BNS</x:v>
      </x:c>
      <x:c r="B74" t="str">
        <x:v>SCT24 $000</x:v>
      </x:c>
      <x:c r="C74" t="n">
        <x:v>10317</x:v>
      </x:c>
      <x:c r="D74"/>
      <x:c r="E74" t="str">
        <x:v>SCT 104/SEC HTML; CD&amp;A 92-97/SEC HTML; earnings 103/SEC HTML; vote PDF1</x:v>
      </x:c>
      <x:c r="F74"/>
      <x:c r="G74"/>
      <x:c r="H74" t="str">
        <x:v>Independent reviewer entry required; source pages cover sections, not always exact cell.</x:v>
      </x:c>
    </x:row>
    <x:row r="75">
      <x:c r="A75" t="str">
        <x:v>BNS</x:v>
      </x:c>
      <x:c r="B75" t="str">
        <x:v>Target TDC25 $000</x:v>
      </x:c>
      <x:c r="C75" t="n">
        <x:v>11500</x:v>
      </x:c>
      <x:c r="D75"/>
      <x:c r="E75" t="str">
        <x:v>SCT 104/SEC HTML; CD&amp;A 92-97/SEC HTML; earnings 103/SEC HTML; vote PDF1</x:v>
      </x:c>
      <x:c r="F75"/>
      <x:c r="G75"/>
      <x:c r="H75" t="str">
        <x:v>Independent reviewer entry required; source pages cover sections, not always exact cell.</x:v>
      </x:c>
    </x:row>
    <x:row r="76">
      <x:c r="A76" t="str">
        <x:v>BNS</x:v>
      </x:c>
      <x:c r="B76" t="str">
        <x:v>Actual TDC25 $000 disclosed</x:v>
      </x:c>
      <x:c r="C76" t="n">
        <x:v>12580</x:v>
      </x:c>
      <x:c r="D76"/>
      <x:c r="E76" t="str">
        <x:v>SCT 104/SEC HTML; CD&amp;A 92-97/SEC HTML; earnings 103/SEC HTML; vote PDF1</x:v>
      </x:c>
      <x:c r="F76"/>
      <x:c r="G76"/>
      <x:c r="H76" t="str">
        <x:v>Independent reviewer entry required; source pages cover sections, not always exact cell.</x:v>
      </x:c>
    </x:row>
    <x:row r="77">
      <x:c r="A77" t="str">
        <x:v>BNS</x:v>
      </x:c>
      <x:c r="B77" t="str">
        <x:v>Final BPF %</x:v>
      </x:c>
      <x:c r="C77" t="n">
        <x:v>1.03</x:v>
      </x:c>
      <x:c r="D77"/>
      <x:c r="E77" t="str">
        <x:v>SCT 104/SEC HTML; CD&amp;A 92-97/SEC HTML; earnings 103/SEC HTML; vote PDF1</x:v>
      </x:c>
      <x:c r="F77"/>
      <x:c r="G77"/>
      <x:c r="H77" t="str">
        <x:v>Independent reviewer entry required; source pages cover sections, not always exact cell.</x:v>
      </x:c>
    </x:row>
    <x:row r="78">
      <x:c r="A78" t="str">
        <x:v>BNS</x:v>
      </x:c>
      <x:c r="B78" t="str">
        <x:v>Adjusted NI25 $M</x:v>
      </x:c>
      <x:c r="C78" t="n">
        <x:v>9510</x:v>
      </x:c>
      <x:c r="D78"/>
      <x:c r="E78" t="str">
        <x:v>SCT 104/SEC HTML; CD&amp;A 92-97/SEC HTML; earnings 103/SEC HTML; vote PDF1</x:v>
      </x:c>
      <x:c r="F78"/>
      <x:c r="G78"/>
      <x:c r="H78" t="str">
        <x:v>Independent reviewer entry required; source pages cover sections, not always exact cell.</x:v>
      </x:c>
    </x:row>
    <x:row r="79">
      <x:c r="A79" t="str">
        <x:v>BNS</x:v>
      </x:c>
      <x:c r="B79" t="str">
        <x:v>Reported NI25 $M</x:v>
      </x:c>
      <x:c r="C79" t="n">
        <x:v>7758</x:v>
      </x:c>
      <x:c r="D79"/>
      <x:c r="E79" t="str">
        <x:v>SCT 104/SEC HTML; CD&amp;A 92-97/SEC HTML; earnings 103/SEC HTML; vote PDF1</x:v>
      </x:c>
      <x:c r="F79"/>
      <x:c r="G79"/>
      <x:c r="H79" t="str">
        <x:v>Independent reviewer entry required; source pages cover sections, not always exact cell.</x:v>
      </x:c>
    </x:row>
    <x:row r="80">
      <x:c r="A80" t="str">
        <x:v>BNS</x:v>
      </x:c>
      <x:c r="B80" t="str">
        <x:v>Say on Pay %</x:v>
      </x:c>
      <x:c r="C80" t="n">
        <x:v>0.9589</x:v>
      </x:c>
      <x:c r="D80"/>
      <x:c r="E80" t="str">
        <x:v>2026 voting results: SCT 104/SEC HTML; CD&amp;A 92-97/SEC HTML; earnings 103/SEC HTML; vote PDF1</x:v>
      </x:c>
      <x:c r="F80"/>
      <x:c r="G80"/>
      <x:c r="H80" t="str">
        <x:v>Independent reviewer entry required; source pages cover sections, not always exact cell.</x:v>
      </x:c>
    </x:row>
    <x:row r="81">
      <x:c r="A81" t="str">
        <x:v>BNS</x:v>
      </x:c>
      <x:c r="B81" t="str">
        <x:v>Special24 $000</x:v>
      </x:c>
      <x:c r="C81" t="n">
        <x:v>0</x:v>
      </x:c>
      <x:c r="D81"/>
      <x:c r="E81" t="str">
        <x:v>SCT 104/SEC HTML; CD&amp;A 92-97/SEC HTML; earnings 103/SEC HTML; vote PDF1</x:v>
      </x:c>
      <x:c r="F81"/>
      <x:c r="G81"/>
      <x:c r="H81" t="str">
        <x:v>Independent reviewer entry required; source pages cover sections, not always exact cell.</x:v>
      </x:c>
    </x:row>
    <x:row r="82">
      <x:c r="A82" t="str">
        <x:v>BNS</x:v>
      </x:c>
      <x:c r="B82" t="str">
        <x:v>Special25 $000</x:v>
      </x:c>
      <x:c r="C82" t="n">
        <x:v>0</x:v>
      </x:c>
      <x:c r="D82"/>
      <x:c r="E82" t="str">
        <x:v>SCT 104/SEC HTML; CD&amp;A 92-97/SEC HTML; earnings 103/SEC HTML; vote PDF1</x:v>
      </x:c>
      <x:c r="F82"/>
      <x:c r="G82"/>
      <x:c r="H82" t="str">
        <x:v>Independent reviewer entry required; source pages cover sections, not always exact cell.</x:v>
      </x:c>
    </x:row>
    <x:row r="83">
      <x:c r="A83" t="str">
        <x:v>BNS</x:v>
      </x:c>
      <x:c r="B83" t="str">
        <x:v>CEO STI target $000</x:v>
      </x:c>
      <x:c r="C83" t="n">
        <x:v>2600</x:v>
      </x:c>
      <x:c r="D83"/>
      <x:c r="E83" t="str">
        <x:v>SCT 104/SEC HTML; CD&amp;A 92-97/SEC HTML; earnings 103/SEC HTML; vote PDF1</x:v>
      </x:c>
      <x:c r="F83"/>
      <x:c r="G83"/>
      <x:c r="H83" t="str">
        <x:v>Independent reviewer entry required; source pages cover sections, not always exact cell.</x:v>
      </x:c>
    </x:row>
    <x:row r="84">
      <x:c r="A84" t="str">
        <x:v>BNS</x:v>
      </x:c>
      <x:c r="B84" t="str">
        <x:v>CEO award/target %</x:v>
      </x:c>
      <x:c r="C84" t="n">
        <x:v>1.104</x:v>
      </x:c>
      <x:c r="D84"/>
      <x:c r="E84" t="str">
        <x:v>SCT 104/SEC HTML; CD&amp;A 92-97/SEC HTML; earnings 103/SEC HTML; vote PDF1</x:v>
      </x:c>
      <x:c r="F84"/>
      <x:c r="G84"/>
      <x:c r="H84" t="str">
        <x:v>Independent reviewer entry required; source pages cover sections, not always exact cell.</x:v>
      </x:c>
    </x:row>
    <x:row r="85">
      <x:c r="A85" t="str">
        <x:v>BNS</x:v>
      </x:c>
      <x:c r="B85" t="str">
        <x:v>PSU % of LTI</x:v>
      </x:c>
      <x:c r="C85" t="n">
        <x:v>0.8</x:v>
      </x:c>
      <x:c r="D85"/>
      <x:c r="E85" t="str">
        <x:v>SCT 104/SEC HTML; CD&amp;A 92-97/SEC HTML; earnings 103/SEC HTML; vote PDF1</x:v>
      </x:c>
      <x:c r="F85"/>
      <x:c r="G85"/>
      <x:c r="H85" t="str">
        <x:v>Independent reviewer entry required; source pages cover sections, not always exact cell.</x:v>
      </x:c>
    </x:row>
    <x:row r="86">
      <x:c r="A86" t="str">
        <x:v>BNS</x:v>
      </x:c>
      <x:c r="B86" t="str">
        <x:v>Options % of LTI</x:v>
      </x:c>
      <x:c r="C86" t="n">
        <x:v>0.2</x:v>
      </x:c>
      <x:c r="D86"/>
      <x:c r="E86" t="str">
        <x:v>SCT 104/SEC HTML; CD&amp;A 92-97/SEC HTML; earnings 103/SEC HTML; vote PDF1</x:v>
      </x:c>
      <x:c r="F86"/>
      <x:c r="G86"/>
      <x:c r="H86" t="str">
        <x:v>Independent reviewer entry required; source pages cover sections, not always exact cell.</x:v>
      </x:c>
    </x:row>
    <x:row r="87">
      <x:c r="A87" t="str">
        <x:v>BNS</x:v>
      </x:c>
      <x:c r="B87" t="str">
        <x:v>RSU % of LTI</x:v>
      </x:c>
      <x:c r="C87" t="n">
        <x:v>0</x:v>
      </x:c>
      <x:c r="D87"/>
      <x:c r="E87" t="str">
        <x:v>SCT 104/SEC HTML; CD&amp;A 92-97/SEC HTML; earnings 103/SEC HTML; vote PDF1</x:v>
      </x:c>
      <x:c r="F87"/>
      <x:c r="G87"/>
      <x:c r="H87" t="str">
        <x:v>Independent reviewer entry required; source pages cover sections, not always exact cell.</x:v>
      </x:c>
    </x:row>
    <x:row r="88">
      <x:c r="A88" t="str">
        <x:v>BNS</x:v>
      </x:c>
      <x:c r="B88" t="str">
        <x:v>PSU payout min %</x:v>
      </x:c>
      <x:c r="C88" t="n">
        <x:v>0</x:v>
      </x:c>
      <x:c r="D88"/>
      <x:c r="E88" t="str">
        <x:v>SCT 104/SEC HTML; CD&amp;A 92-97/SEC HTML; earnings 103/SEC HTML; vote PDF1</x:v>
      </x:c>
      <x:c r="F88"/>
      <x:c r="G88"/>
      <x:c r="H88" t="str">
        <x:v>Independent reviewer entry required; source pages cover sections, not always exact cell.</x:v>
      </x:c>
    </x:row>
    <x:row r="89">
      <x:c r="A89" t="str">
        <x:v>BMO</x:v>
      </x:c>
      <x:c r="B89" t="str">
        <x:v>Months CEO FY25</x:v>
      </x:c>
      <x:c r="C89" t="n">
        <x:v>12</x:v>
      </x:c>
      <x:c r="D89"/>
      <x:c r="E89" t="str">
        <x:v>SCT 77/PDF81; CD&amp;A 43/PDF48, 60/PDF64, 66-67/PDF70-71; earnings 61/PDF65; vote PDF1</x:v>
      </x:c>
      <x:c r="F89"/>
      <x:c r="G89"/>
      <x:c r="H89" t="str">
        <x:v>Independent reviewer entry required; source pages cover sections, not always exact cell.</x:v>
      </x:c>
    </x:row>
    <x:row r="90">
      <x:c r="A90" t="str">
        <x:v>BMO</x:v>
      </x:c>
      <x:c r="B90" t="str">
        <x:v>Salary25 $000</x:v>
      </x:c>
      <x:c r="C90" t="n">
        <x:v>1200</x:v>
      </x:c>
      <x:c r="D90"/>
      <x:c r="E90" t="str">
        <x:v>SCT 77/PDF81; CD&amp;A 43/PDF48, 60/PDF64, 66-67/PDF70-71; earnings 61/PDF65; vote PDF1</x:v>
      </x:c>
      <x:c r="F90"/>
      <x:c r="G90"/>
      <x:c r="H90" t="str">
        <x:v>Independent reviewer entry required; source pages cover sections, not always exact cell.</x:v>
      </x:c>
    </x:row>
    <x:row r="91">
      <x:c r="A91" t="str">
        <x:v>BMO</x:v>
      </x:c>
      <x:c r="B91" t="str">
        <x:v>Shares25 $000</x:v>
      </x:c>
      <x:c r="C91" t="n">
        <x:v>8600</x:v>
      </x:c>
      <x:c r="D91"/>
      <x:c r="E91" t="str">
        <x:v>SCT 77/PDF81; CD&amp;A 43/PDF48, 60/PDF64, 66-67/PDF70-71; earnings 61/PDF65; vote PDF1</x:v>
      </x:c>
      <x:c r="F91"/>
      <x:c r="G91"/>
      <x:c r="H91" t="str">
        <x:v>Independent reviewer entry required; source pages cover sections, not always exact cell.</x:v>
      </x:c>
    </x:row>
    <x:row r="92">
      <x:c r="A92" t="str">
        <x:v>BMO</x:v>
      </x:c>
      <x:c r="B92" t="str">
        <x:v>Options25 $000</x:v>
      </x:c>
      <x:c r="C92" t="n">
        <x:v>2106</x:v>
      </x:c>
      <x:c r="D92"/>
      <x:c r="E92" t="str">
        <x:v>SCT 77/PDF81; CD&amp;A 43/PDF48, 60/PDF64, 66-67/PDF70-71; earnings 61/PDF65; vote PDF1</x:v>
      </x:c>
      <x:c r="F92"/>
      <x:c r="G92"/>
      <x:c r="H92" t="str">
        <x:v>Independent reviewer entry required; source pages cover sections, not always exact cell.</x:v>
      </x:c>
    </x:row>
    <x:row r="93">
      <x:c r="A93" t="str">
        <x:v>BMO</x:v>
      </x:c>
      <x:c r="B93" t="str">
        <x:v>STI25 $000</x:v>
      </x:c>
      <x:c r="C93" t="n">
        <x:v>3539</x:v>
      </x:c>
      <x:c r="D93"/>
      <x:c r="E93" t="str">
        <x:v>SCT 77/PDF81; CD&amp;A 43/PDF48, 60/PDF64, 66-67/PDF70-71; earnings 61/PDF65; vote PDF1</x:v>
      </x:c>
      <x:c r="F93"/>
      <x:c r="G93"/>
      <x:c r="H93" t="str">
        <x:v>Independent reviewer entry required; source pages cover sections, not always exact cell.</x:v>
      </x:c>
    </x:row>
    <x:row r="94">
      <x:c r="A94" t="str">
        <x:v>BMO</x:v>
      </x:c>
      <x:c r="B94" t="str">
        <x:v>Pension25 $000</x:v>
      </x:c>
      <x:c r="C94" t="n">
        <x:v>1544</x:v>
      </x:c>
      <x:c r="D94"/>
      <x:c r="E94" t="str">
        <x:v>SCT 77/PDF81; CD&amp;A 43/PDF48, 60/PDF64, 66-67/PDF70-71; earnings 61/PDF65; vote PDF1</x:v>
      </x:c>
      <x:c r="F94"/>
      <x:c r="G94"/>
      <x:c r="H94" t="str">
        <x:v>Independent reviewer entry required; source pages cover sections, not always exact cell.</x:v>
      </x:c>
    </x:row>
    <x:row r="95">
      <x:c r="A95" t="str">
        <x:v>BMO</x:v>
      </x:c>
      <x:c r="B95" t="str">
        <x:v>Other25 $000</x:v>
      </x:c>
      <x:c r="C95" t="n">
        <x:v>54</x:v>
      </x:c>
      <x:c r="D95"/>
      <x:c r="E95" t="str">
        <x:v>SCT 77/PDF81; CD&amp;A 43/PDF48, 60/PDF64, 66-67/PDF70-71; earnings 61/PDF65; vote PDF1</x:v>
      </x:c>
      <x:c r="F95"/>
      <x:c r="G95"/>
      <x:c r="H95" t="str">
        <x:v>Independent reviewer entry required; source pages cover sections, not always exact cell.</x:v>
      </x:c>
    </x:row>
    <x:row r="96">
      <x:c r="A96" t="str">
        <x:v>BMO</x:v>
      </x:c>
      <x:c r="B96" t="str">
        <x:v>SCT25 $000</x:v>
      </x:c>
      <x:c r="C96" t="n">
        <x:v>17042</x:v>
      </x:c>
      <x:c r="D96"/>
      <x:c r="E96" t="str">
        <x:v>SCT 77/PDF81; CD&amp;A 43/PDF48, 60/PDF64, 66-67/PDF70-71; earnings 61/PDF65; vote PDF1</x:v>
      </x:c>
      <x:c r="F96"/>
      <x:c r="G96"/>
      <x:c r="H96" t="str">
        <x:v>Independent reviewer entry required; source pages cover sections, not always exact cell.</x:v>
      </x:c>
    </x:row>
    <x:row r="97">
      <x:c r="A97" t="str">
        <x:v>BMO</x:v>
      </x:c>
      <x:c r="B97" t="str">
        <x:v>Salary24 $000</x:v>
      </x:c>
      <x:c r="C97" t="n">
        <x:v>1100</x:v>
      </x:c>
      <x:c r="D97"/>
      <x:c r="E97" t="str">
        <x:v>SCT 77/PDF81; CD&amp;A 43/PDF48, 60/PDF64, 66-67/PDF70-71; earnings 61/PDF65; vote PDF1</x:v>
      </x:c>
      <x:c r="F97"/>
      <x:c r="G97"/>
      <x:c r="H97" t="str">
        <x:v>Independent reviewer entry required; source pages cover sections, not always exact cell.</x:v>
      </x:c>
    </x:row>
    <x:row r="98">
      <x:c r="A98" t="str">
        <x:v>BMO</x:v>
      </x:c>
      <x:c r="B98" t="str">
        <x:v>Shares24 $000</x:v>
      </x:c>
      <x:c r="C98" t="n">
        <x:v>4960</x:v>
      </x:c>
      <x:c r="D98"/>
      <x:c r="E98" t="str">
        <x:v>SCT 77/PDF81; CD&amp;A 43/PDF48, 60/PDF64, 66-67/PDF70-71; earnings 61/PDF65; vote PDF1</x:v>
      </x:c>
      <x:c r="F98"/>
      <x:c r="G98"/>
      <x:c r="H98" t="str">
        <x:v>Independent reviewer entry required; source pages cover sections, not always exact cell.</x:v>
      </x:c>
    </x:row>
    <x:row r="99">
      <x:c r="A99" t="str">
        <x:v>BMO</x:v>
      </x:c>
      <x:c r="B99" t="str">
        <x:v>Options24 $000</x:v>
      </x:c>
      <x:c r="C99" t="n">
        <x:v>1280</x:v>
      </x:c>
      <x:c r="D99"/>
      <x:c r="E99" t="str">
        <x:v>SCT 77/PDF81; CD&amp;A 43/PDF48, 60/PDF64, 66-67/PDF70-71; earnings 61/PDF65; vote PDF1</x:v>
      </x:c>
      <x:c r="F99"/>
      <x:c r="G99"/>
      <x:c r="H99" t="str">
        <x:v>Independent reviewer entry required; source pages cover sections, not always exact cell.</x:v>
      </x:c>
    </x:row>
    <x:row r="100">
      <x:c r="A100" t="str">
        <x:v>BMO</x:v>
      </x:c>
      <x:c r="B100" t="str">
        <x:v>STI24 $000</x:v>
      </x:c>
      <x:c r="C100" t="n">
        <x:v>2280</x:v>
      </x:c>
      <x:c r="D100"/>
      <x:c r="E100" t="str">
        <x:v>SCT 77/PDF81; CD&amp;A 43/PDF48, 60/PDF64, 66-67/PDF70-71; earnings 61/PDF65; vote PDF1</x:v>
      </x:c>
      <x:c r="F100"/>
      <x:c r="G100"/>
      <x:c r="H100" t="str">
        <x:v>Independent reviewer entry required; source pages cover sections, not always exact cell.</x:v>
      </x:c>
    </x:row>
    <x:row r="101">
      <x:c r="A101" t="str">
        <x:v>BMO</x:v>
      </x:c>
      <x:c r="B101" t="str">
        <x:v>Pension24 $000</x:v>
      </x:c>
      <x:c r="C101" t="n">
        <x:v>1296</x:v>
      </x:c>
      <x:c r="D101"/>
      <x:c r="E101" t="str">
        <x:v>SCT 77/PDF81; CD&amp;A 43/PDF48, 60/PDF64, 66-67/PDF70-71; earnings 61/PDF65; vote PDF1</x:v>
      </x:c>
      <x:c r="F101"/>
      <x:c r="G101"/>
      <x:c r="H101" t="str">
        <x:v>Independent reviewer entry required; source pages cover sections, not always exact cell.</x:v>
      </x:c>
    </x:row>
    <x:row r="102">
      <x:c r="A102" t="str">
        <x:v>BMO</x:v>
      </x:c>
      <x:c r="B102" t="str">
        <x:v>Other24 $000</x:v>
      </x:c>
      <x:c r="C102" t="n">
        <x:v>53</x:v>
      </x:c>
      <x:c r="D102"/>
      <x:c r="E102" t="str">
        <x:v>SCT 77/PDF81; CD&amp;A 43/PDF48, 60/PDF64, 66-67/PDF70-71; earnings 61/PDF65; vote PDF1</x:v>
      </x:c>
      <x:c r="F102"/>
      <x:c r="G102"/>
      <x:c r="H102" t="str">
        <x:v>Independent reviewer entry required; source pages cover sections, not always exact cell.</x:v>
      </x:c>
    </x:row>
    <x:row r="103">
      <x:c r="A103" t="str">
        <x:v>BMO</x:v>
      </x:c>
      <x:c r="B103" t="str">
        <x:v>SCT24 $000</x:v>
      </x:c>
      <x:c r="C103" t="n">
        <x:v>10969</x:v>
      </x:c>
      <x:c r="D103"/>
      <x:c r="E103" t="str">
        <x:v>SCT 77/PDF81; CD&amp;A 43/PDF48, 60/PDF64, 66-67/PDF70-71; earnings 61/PDF65; vote PDF1</x:v>
      </x:c>
      <x:c r="F103"/>
      <x:c r="G103"/>
      <x:c r="H103" t="str">
        <x:v>Independent reviewer entry required; source pages cover sections, not always exact cell.</x:v>
      </x:c>
    </x:row>
    <x:row r="104">
      <x:c r="A104" t="str">
        <x:v>BMO</x:v>
      </x:c>
      <x:c r="B104" t="str">
        <x:v>Target TDC25 $000</x:v>
      </x:c>
      <x:c r="C104" t="n">
        <x:v>13375</x:v>
      </x:c>
      <x:c r="D104"/>
      <x:c r="E104" t="str">
        <x:v>SCT 77/PDF81; CD&amp;A 43/PDF48, 60/PDF64, 66-67/PDF70-71; earnings 61/PDF65; vote PDF1</x:v>
      </x:c>
      <x:c r="F104"/>
      <x:c r="G104"/>
      <x:c r="H104" t="str">
        <x:v>Independent reviewer entry required; source pages cover sections, not always exact cell.</x:v>
      </x:c>
    </x:row>
    <x:row r="105">
      <x:c r="A105" t="str">
        <x:v>BMO</x:v>
      </x:c>
      <x:c r="B105" t="str">
        <x:v>Actual TDC25 $000 disclosed</x:v>
      </x:c>
      <x:c r="C105" t="n">
        <x:v>15445</x:v>
      </x:c>
      <x:c r="D105"/>
      <x:c r="E105" t="str">
        <x:v>SCT 77/PDF81; CD&amp;A 43/PDF48, 60/PDF64, 66-67/PDF70-71; earnings 61/PDF65; vote PDF1</x:v>
      </x:c>
      <x:c r="F105"/>
      <x:c r="G105"/>
      <x:c r="H105" t="str">
        <x:v>Independent reviewer entry required; source pages cover sections, not always exact cell.</x:v>
      </x:c>
    </x:row>
    <x:row r="106">
      <x:c r="A106" t="str">
        <x:v>BMO</x:v>
      </x:c>
      <x:c r="B106" t="str">
        <x:v>Final BPF %</x:v>
      </x:c>
      <x:c r="C106" t="n">
        <x:v>1.17</x:v>
      </x:c>
      <x:c r="D106"/>
      <x:c r="E106" t="str">
        <x:v>SCT 77/PDF81; CD&amp;A 43/PDF48, 60/PDF64, 66-67/PDF70-71; earnings 61/PDF65; vote PDF1</x:v>
      </x:c>
      <x:c r="F106"/>
      <x:c r="G106"/>
      <x:c r="H106" t="str">
        <x:v>Independent reviewer entry required; source pages cover sections, not always exact cell.</x:v>
      </x:c>
    </x:row>
    <x:row r="107">
      <x:c r="A107" t="str">
        <x:v>BMO</x:v>
      </x:c>
      <x:c r="B107" t="str">
        <x:v>Adjusted NI25 $M</x:v>
      </x:c>
      <x:c r="C107" t="n">
        <x:v>9248</x:v>
      </x:c>
      <x:c r="D107"/>
      <x:c r="E107" t="str">
        <x:v>SCT 77/PDF81; CD&amp;A 43/PDF48, 60/PDF64, 66-67/PDF70-71; earnings 61/PDF65; vote PDF1</x:v>
      </x:c>
      <x:c r="F107"/>
      <x:c r="G107"/>
      <x:c r="H107" t="str">
        <x:v>Independent reviewer entry required; source pages cover sections, not always exact cell.</x:v>
      </x:c>
    </x:row>
    <x:row r="108">
      <x:c r="A108" t="str">
        <x:v>BMO</x:v>
      </x:c>
      <x:c r="B108" t="str">
        <x:v>Reported NI25 $M</x:v>
      </x:c>
      <x:c r="C108" t="n">
        <x:v>8725</x:v>
      </x:c>
      <x:c r="D108"/>
      <x:c r="E108" t="str">
        <x:v>SCT 77/PDF81; CD&amp;A 43/PDF48, 60/PDF64, 66-67/PDF70-71; earnings 61/PDF65; vote PDF1</x:v>
      </x:c>
      <x:c r="F108"/>
      <x:c r="G108"/>
      <x:c r="H108" t="str">
        <x:v>Independent reviewer entry required; source pages cover sections, not always exact cell.</x:v>
      </x:c>
    </x:row>
    <x:row r="109">
      <x:c r="A109" t="str">
        <x:v>BMO</x:v>
      </x:c>
      <x:c r="B109" t="str">
        <x:v>Say on Pay %</x:v>
      </x:c>
      <x:c r="C109" t="n">
        <x:v>0.9634</x:v>
      </x:c>
      <x:c r="D109"/>
      <x:c r="E109" t="str">
        <x:v>2026 voting results: SCT 77/PDF81; CD&amp;A 43/PDF48, 60/PDF64, 66-67/PDF70-71; earnings 61/PDF65; vote PDF1</x:v>
      </x:c>
      <x:c r="F109"/>
      <x:c r="G109"/>
      <x:c r="H109" t="str">
        <x:v>Independent reviewer entry required; source pages cover sections, not always exact cell.</x:v>
      </x:c>
    </x:row>
    <x:row r="110">
      <x:c r="A110" t="str">
        <x:v>BMO</x:v>
      </x:c>
      <x:c r="B110" t="str">
        <x:v>Special24 $000</x:v>
      </x:c>
      <x:c r="C110" t="n">
        <x:v>0</x:v>
      </x:c>
      <x:c r="D110"/>
      <x:c r="E110" t="str">
        <x:v>SCT 77/PDF81; CD&amp;A 43/PDF48, 60/PDF64, 66-67/PDF70-71; earnings 61/PDF65; vote PDF1</x:v>
      </x:c>
      <x:c r="F110"/>
      <x:c r="G110"/>
      <x:c r="H110" t="str">
        <x:v>Independent reviewer entry required; source pages cover sections, not always exact cell.</x:v>
      </x:c>
    </x:row>
    <x:row r="111">
      <x:c r="A111" t="str">
        <x:v>BMO</x:v>
      </x:c>
      <x:c r="B111" t="str">
        <x:v>Special25 $000</x:v>
      </x:c>
      <x:c r="C111" t="n">
        <x:v>0</x:v>
      </x:c>
      <x:c r="D111"/>
      <x:c r="E111" t="str">
        <x:v>SCT 77/PDF81; CD&amp;A 43/PDF48, 60/PDF64, 66-67/PDF70-71; earnings 61/PDF65; vote PDF1</x:v>
      </x:c>
      <x:c r="F111"/>
      <x:c r="G111"/>
      <x:c r="H111" t="str">
        <x:v>Independent reviewer entry required; source pages cover sections, not always exact cell.</x:v>
      </x:c>
    </x:row>
    <x:row r="112">
      <x:c r="A112" t="str">
        <x:v>BMO</x:v>
      </x:c>
      <x:c r="B112" t="str">
        <x:v>CEO STI target $000</x:v>
      </x:c>
      <x:c r="C112" t="n">
        <x:v>3043.75</x:v>
      </x:c>
      <x:c r="D112"/>
      <x:c r="E112" t="str">
        <x:v>SCT 77/PDF81; CD&amp;A 43/PDF48, 60/PDF64, 66-67/PDF70-71; earnings 61/PDF65; vote PDF1</x:v>
      </x:c>
      <x:c r="F112"/>
      <x:c r="G112"/>
      <x:c r="H112" t="str">
        <x:v>Independent reviewer entry required; source pages cover sections, not always exact cell.</x:v>
      </x:c>
    </x:row>
    <x:row r="113">
      <x:c r="A113" t="str">
        <x:v>BMO</x:v>
      </x:c>
      <x:c r="B113" t="str">
        <x:v>CEO award/target %</x:v>
      </x:c>
      <x:c r="C113" t="n">
        <x:v>1.163</x:v>
      </x:c>
      <x:c r="D113"/>
      <x:c r="E113" t="str">
        <x:v>SCT 77/PDF81; CD&amp;A 43/PDF48, 60/PDF64, 66-67/PDF70-71; earnings 61/PDF65; vote PDF1</x:v>
      </x:c>
      <x:c r="F113"/>
      <x:c r="G113"/>
      <x:c r="H113" t="str">
        <x:v>Independent reviewer entry required; source pages cover sections, not always exact cell.</x:v>
      </x:c>
    </x:row>
    <x:row r="114">
      <x:c r="A114" t="str">
        <x:v>BMO</x:v>
      </x:c>
      <x:c r="B114" t="str">
        <x:v>PSU % of LTI</x:v>
      </x:c>
      <x:c r="C114" t="n">
        <x:v>0.8033</x:v>
      </x:c>
      <x:c r="D114"/>
      <x:c r="E114" t="str">
        <x:v>SCT 77/PDF81; CD&amp;A 43/PDF48, 60/PDF64, 66-67/PDF70-71; earnings 61/PDF65; vote PDF1</x:v>
      </x:c>
      <x:c r="F114"/>
      <x:c r="G114"/>
      <x:c r="H114" t="str">
        <x:v>Independent reviewer entry required; source pages cover sections, not always exact cell.</x:v>
      </x:c>
    </x:row>
    <x:row r="115">
      <x:c r="A115" t="str">
        <x:v>BMO</x:v>
      </x:c>
      <x:c r="B115" t="str">
        <x:v>Options % of LTI</x:v>
      </x:c>
      <x:c r="C115" t="n">
        <x:v>0.1967</x:v>
      </x:c>
      <x:c r="D115"/>
      <x:c r="E115" t="str">
        <x:v>SCT 77/PDF81; CD&amp;A 43/PDF48, 60/PDF64, 66-67/PDF70-71; earnings 61/PDF65; vote PDF1</x:v>
      </x:c>
      <x:c r="F115"/>
      <x:c r="G115"/>
      <x:c r="H115" t="str">
        <x:v>Independent reviewer entry required; source pages cover sections, not always exact cell.</x:v>
      </x:c>
    </x:row>
    <x:row r="116">
      <x:c r="A116" t="str">
        <x:v>BMO</x:v>
      </x:c>
      <x:c r="B116" t="str">
        <x:v>RSU % of LTI</x:v>
      </x:c>
      <x:c r="C116" t="n">
        <x:v>0</x:v>
      </x:c>
      <x:c r="D116"/>
      <x:c r="E116" t="str">
        <x:v>SCT 77/PDF81; CD&amp;A 43/PDF48, 60/PDF64, 66-67/PDF70-71; earnings 61/PDF65; vote PDF1</x:v>
      </x:c>
      <x:c r="F116"/>
      <x:c r="G116"/>
      <x:c r="H116" t="str">
        <x:v>Independent reviewer entry required; source pages cover sections, not always exact cell.</x:v>
      </x:c>
    </x:row>
    <x:row r="117">
      <x:c r="A117" t="str">
        <x:v>BMO</x:v>
      </x:c>
      <x:c r="B117" t="str">
        <x:v>PSU payout min %</x:v>
      </x:c>
      <x:c r="C117" t="n">
        <x:v>0.8</x:v>
      </x:c>
      <x:c r="D117"/>
      <x:c r="E117" t="str">
        <x:v>SCT 77/PDF81; CD&amp;A 43/PDF48, 60/PDF64, 66-67/PDF70-71; earnings 61/PDF65; vote PDF1</x:v>
      </x:c>
      <x:c r="F117"/>
      <x:c r="G117"/>
      <x:c r="H117" t="str">
        <x:v>Independent reviewer entry required; source pages cover sections, not always exact cell.</x:v>
      </x:c>
    </x:row>
    <x:row r="118">
      <x:c r="A118" t="str">
        <x:v>BMO</x:v>
      </x:c>
      <x:c r="B118" t="str">
        <x:v>PSU payout max %</x:v>
      </x:c>
      <x:c r="C118" t="n">
        <x:v>1.2</x:v>
      </x:c>
      <x:c r="D118"/>
      <x:c r="E118" t="str">
        <x:v>SCT 77/PDF81; CD&amp;A 43/PDF48, 60/PDF64, 66-67/PDF70-71; earnings 61/PDF65; vote PDF1</x:v>
      </x:c>
      <x:c r="F118"/>
      <x:c r="G118"/>
      <x:c r="H118" t="str">
        <x:v>Independent reviewer entry required; source pages cover sections, not always exact cell.</x:v>
      </x:c>
    </x:row>
    <x:row r="119">
      <x:c r="A119" t="str">
        <x:v>NA</x:v>
      </x:c>
      <x:c r="B119" t="str">
        <x:v>Months CEO FY25</x:v>
      </x:c>
      <x:c r="C119" t="n">
        <x:v>12</x:v>
      </x:c>
      <x:c r="D119"/>
      <x:c r="E119" t="str">
        <x:v>SCT 142/PDF154; CD&amp;A 120-121/PDF132-133,136/PDF148; earnings 96/PDF108; vote PDF2</x:v>
      </x:c>
      <x:c r="F119"/>
      <x:c r="G119"/>
      <x:c r="H119" t="str">
        <x:v>Independent reviewer entry required; source pages cover sections, not always exact cell.</x:v>
      </x:c>
    </x:row>
    <x:row r="120">
      <x:c r="A120" t="str">
        <x:v>NA</x:v>
      </x:c>
      <x:c r="B120" t="str">
        <x:v>Salary25 $000</x:v>
      </x:c>
      <x:c r="C120" t="n">
        <x:v>1112</x:v>
      </x:c>
      <x:c r="D120"/>
      <x:c r="E120" t="str">
        <x:v>SCT 142/PDF154; CD&amp;A 120-121/PDF132-133,136/PDF148; earnings 96/PDF108; vote PDF2</x:v>
      </x:c>
      <x:c r="F120"/>
      <x:c r="G120"/>
      <x:c r="H120" t="str">
        <x:v>Independent reviewer entry required; source pages cover sections, not always exact cell.</x:v>
      </x:c>
    </x:row>
    <x:row r="121">
      <x:c r="A121" t="str">
        <x:v>NA</x:v>
      </x:c>
      <x:c r="B121" t="str">
        <x:v>Shares25 $000</x:v>
      </x:c>
      <x:c r="C121" t="n">
        <x:v>6923</x:v>
      </x:c>
      <x:c r="D121"/>
      <x:c r="E121" t="str">
        <x:v>SCT 142/PDF154; CD&amp;A 120-121/PDF132-133,136/PDF148; earnings 96/PDF108; vote PDF2</x:v>
      </x:c>
      <x:c r="F121"/>
      <x:c r="G121"/>
      <x:c r="H121" t="str">
        <x:v>Independent reviewer entry required; source pages cover sections, not always exact cell.</x:v>
      </x:c>
    </x:row>
    <x:row r="122">
      <x:c r="A122" t="str">
        <x:v>NA</x:v>
      </x:c>
      <x:c r="B122" t="str">
        <x:v>Options25 $000</x:v>
      </x:c>
      <x:c r="C122" t="n">
        <x:v>2308</x:v>
      </x:c>
      <x:c r="D122"/>
      <x:c r="E122" t="str">
        <x:v>SCT 142/PDF154; CD&amp;A 120-121/PDF132-133,136/PDF148; earnings 96/PDF108; vote PDF2</x:v>
      </x:c>
      <x:c r="F122"/>
      <x:c r="G122"/>
      <x:c r="H122" t="str">
        <x:v>Independent reviewer entry required; source pages cover sections, not always exact cell.</x:v>
      </x:c>
    </x:row>
    <x:row r="123">
      <x:c r="A123" t="str">
        <x:v>NA</x:v>
      </x:c>
      <x:c r="B123" t="str">
        <x:v>STI25 $000</x:v>
      </x:c>
      <x:c r="C123" t="n">
        <x:v>2308</x:v>
      </x:c>
      <x:c r="D123"/>
      <x:c r="E123" t="str">
        <x:v>SCT 142/PDF154; CD&amp;A 120-121/PDF132-133,136/PDF148; earnings 96/PDF108; vote PDF2</x:v>
      </x:c>
      <x:c r="F123"/>
      <x:c r="G123"/>
      <x:c r="H123" t="str">
        <x:v>Independent reviewer entry required; source pages cover sections, not always exact cell.</x:v>
      </x:c>
    </x:row>
    <x:row r="124">
      <x:c r="A124" t="str">
        <x:v>NA</x:v>
      </x:c>
      <x:c r="B124" t="str">
        <x:v>Pension25 $000</x:v>
      </x:c>
      <x:c r="C124" t="n">
        <x:v>795</x:v>
      </x:c>
      <x:c r="D124"/>
      <x:c r="E124" t="str">
        <x:v>SCT 142/PDF154; CD&amp;A 120-121/PDF132-133,136/PDF148; earnings 96/PDF108; vote PDF2</x:v>
      </x:c>
      <x:c r="F124"/>
      <x:c r="G124"/>
      <x:c r="H124" t="str">
        <x:v>Independent reviewer entry required; source pages cover sections, not always exact cell.</x:v>
      </x:c>
    </x:row>
    <x:row r="125">
      <x:c r="A125" t="str">
        <x:v>NA</x:v>
      </x:c>
      <x:c r="B125" t="str">
        <x:v>Other25 $000</x:v>
      </x:c>
      <x:c r="C125" t="n">
        <x:v>0</x:v>
      </x:c>
      <x:c r="D125"/>
      <x:c r="E125" t="str">
        <x:v>SCT 142/PDF154; CD&amp;A 120-121/PDF132-133,136/PDF148; earnings 96/PDF108; vote PDF2</x:v>
      </x:c>
      <x:c r="F125"/>
      <x:c r="G125"/>
      <x:c r="H125" t="str">
        <x:v>Independent reviewer entry required; source pages cover sections, not always exact cell.</x:v>
      </x:c>
    </x:row>
    <x:row r="126">
      <x:c r="A126" t="str">
        <x:v>NA</x:v>
      </x:c>
      <x:c r="B126" t="str">
        <x:v>SCT25 $000</x:v>
      </x:c>
      <x:c r="C126" t="n">
        <x:v>13445</x:v>
      </x:c>
      <x:c r="D126"/>
      <x:c r="E126" t="str">
        <x:v>SCT 142/PDF154; CD&amp;A 120-121/PDF132-133,136/PDF148; earnings 96/PDF108; vote PDF2</x:v>
      </x:c>
      <x:c r="F126"/>
      <x:c r="G126"/>
      <x:c r="H126" t="str">
        <x:v>Independent reviewer entry required; source pages cover sections, not always exact cell.</x:v>
      </x:c>
    </x:row>
    <x:row r="127">
      <x:c r="A127" t="str">
        <x:v>NA</x:v>
      </x:c>
      <x:c r="B127" t="str">
        <x:v>Salary24 $000</x:v>
      </x:c>
      <x:c r="C127" t="n">
        <x:v>1047</x:v>
      </x:c>
      <x:c r="D127"/>
      <x:c r="E127" t="str">
        <x:v>SCT 142/PDF154; CD&amp;A 120-121/PDF132-133,136/PDF148; earnings 96/PDF108; vote PDF2</x:v>
      </x:c>
      <x:c r="F127"/>
      <x:c r="G127"/>
      <x:c r="H127" t="str">
        <x:v>Independent reviewer entry required; source pages cover sections, not always exact cell.</x:v>
      </x:c>
    </x:row>
    <x:row r="128">
      <x:c r="A128" t="str">
        <x:v>NA</x:v>
      </x:c>
      <x:c r="B128" t="str">
        <x:v>Shares24 $000</x:v>
      </x:c>
      <x:c r="C128" t="n">
        <x:v>5215</x:v>
      </x:c>
      <x:c r="D128"/>
      <x:c r="E128" t="str">
        <x:v>SCT 142/PDF154; CD&amp;A 120-121/PDF132-133,136/PDF148; earnings 96/PDF108; vote PDF2</x:v>
      </x:c>
      <x:c r="F128"/>
      <x:c r="G128"/>
      <x:c r="H128" t="str">
        <x:v>Independent reviewer entry required; source pages cover sections, not always exact cell.</x:v>
      </x:c>
    </x:row>
    <x:row r="129">
      <x:c r="A129" t="str">
        <x:v>NA</x:v>
      </x:c>
      <x:c r="B129" t="str">
        <x:v>Options24 $000</x:v>
      </x:c>
      <x:c r="C129" t="n">
        <x:v>2569</x:v>
      </x:c>
      <x:c r="D129"/>
      <x:c r="E129" t="str">
        <x:v>SCT 142/PDF154; CD&amp;A 120-121/PDF132-133,136/PDF148; earnings 96/PDF108; vote PDF2</x:v>
      </x:c>
      <x:c r="F129"/>
      <x:c r="G129"/>
      <x:c r="H129" t="str">
        <x:v>Independent reviewer entry required; source pages cover sections, not always exact cell.</x:v>
      </x:c>
    </x:row>
    <x:row r="130">
      <x:c r="A130" t="str">
        <x:v>NA</x:v>
      </x:c>
      <x:c r="B130" t="str">
        <x:v>STI24 $000</x:v>
      </x:c>
      <x:c r="C130" t="n">
        <x:v>2595</x:v>
      </x:c>
      <x:c r="D130"/>
      <x:c r="E130" t="str">
        <x:v>SCT 142/PDF154; CD&amp;A 120-121/PDF132-133,136/PDF148; earnings 96/PDF108; vote PDF2</x:v>
      </x:c>
      <x:c r="F130"/>
      <x:c r="G130"/>
      <x:c r="H130" t="str">
        <x:v>Independent reviewer entry required; source pages cover sections, not always exact cell.</x:v>
      </x:c>
    </x:row>
    <x:row r="131">
      <x:c r="A131" t="str">
        <x:v>NA</x:v>
      </x:c>
      <x:c r="B131" t="str">
        <x:v>Pension24 $000</x:v>
      </x:c>
      <x:c r="C131" t="n">
        <x:v>649</x:v>
      </x:c>
      <x:c r="D131"/>
      <x:c r="E131" t="str">
        <x:v>SCT 142/PDF154; CD&amp;A 120-121/PDF132-133,136/PDF148; earnings 96/PDF108; vote PDF2</x:v>
      </x:c>
      <x:c r="F131"/>
      <x:c r="G131"/>
      <x:c r="H131" t="str">
        <x:v>Independent reviewer entry required; source pages cover sections, not always exact cell.</x:v>
      </x:c>
    </x:row>
    <x:row r="132">
      <x:c r="A132" t="str">
        <x:v>NA</x:v>
      </x:c>
      <x:c r="B132" t="str">
        <x:v>Other24 $000</x:v>
      </x:c>
      <x:c r="C132" t="n">
        <x:v>0</x:v>
      </x:c>
      <x:c r="D132"/>
      <x:c r="E132" t="str">
        <x:v>SCT 142/PDF154; CD&amp;A 120-121/PDF132-133,136/PDF148; earnings 96/PDF108; vote PDF2</x:v>
      </x:c>
      <x:c r="F132"/>
      <x:c r="G132"/>
      <x:c r="H132" t="str">
        <x:v>Independent reviewer entry required; source pages cover sections, not always exact cell.</x:v>
      </x:c>
    </x:row>
    <x:row r="133">
      <x:c r="A133" t="str">
        <x:v>NA</x:v>
      </x:c>
      <x:c r="B133" t="str">
        <x:v>SCT24 $000</x:v>
      </x:c>
      <x:c r="C133" t="n">
        <x:v>12074</x:v>
      </x:c>
      <x:c r="D133"/>
      <x:c r="E133" t="str">
        <x:v>SCT 142/PDF154; CD&amp;A 120-121/PDF132-133,136/PDF148; earnings 96/PDF108; vote PDF2</x:v>
      </x:c>
      <x:c r="F133"/>
      <x:c r="G133"/>
      <x:c r="H133" t="str">
        <x:v>Independent reviewer entry required; source pages cover sections, not always exact cell.</x:v>
      </x:c>
    </x:row>
    <x:row r="134">
      <x:c r="A134" t="str">
        <x:v>NA</x:v>
      </x:c>
      <x:c r="B134" t="str">
        <x:v>Target TDC25 $000</x:v>
      </x:c>
      <x:c r="C134" t="n">
        <x:v>11000</x:v>
      </x:c>
      <x:c r="D134"/>
      <x:c r="E134" t="str">
        <x:v>SCT 142/PDF154; CD&amp;A 120-121/PDF132-133,136/PDF148; earnings 96/PDF108; vote PDF2</x:v>
      </x:c>
      <x:c r="F134"/>
      <x:c r="G134"/>
      <x:c r="H134" t="str">
        <x:v>Independent reviewer entry required; source pages cover sections, not always exact cell.</x:v>
      </x:c>
    </x:row>
    <x:row r="135">
      <x:c r="A135" t="str">
        <x:v>NA</x:v>
      </x:c>
      <x:c r="B135" t="str">
        <x:v>Actual TDC25 $000 disclosed</x:v>
      </x:c>
      <x:c r="C135" t="n">
        <x:v>12650</x:v>
      </x:c>
      <x:c r="D135"/>
      <x:c r="E135" t="str">
        <x:v>SCT 142/PDF154; CD&amp;A 120-121/PDF132-133,136/PDF148; earnings 96/PDF108; vote PDF2</x:v>
      </x:c>
      <x:c r="F135"/>
      <x:c r="G135"/>
      <x:c r="H135" t="str">
        <x:v>Independent reviewer entry required; source pages cover sections, not always exact cell.</x:v>
      </x:c>
    </x:row>
    <x:row r="136">
      <x:c r="A136" t="str">
        <x:v>NA</x:v>
      </x:c>
      <x:c r="B136" t="str">
        <x:v>Final BPF %</x:v>
      </x:c>
      <x:c r="C136" t="n">
        <x:v>1.055</x:v>
      </x:c>
      <x:c r="D136"/>
      <x:c r="E136" t="str">
        <x:v>SCT 142/PDF154; CD&amp;A 120-121/PDF132-133,136/PDF148; earnings 96/PDF108; vote PDF2</x:v>
      </x:c>
      <x:c r="F136"/>
      <x:c r="G136"/>
      <x:c r="H136" t="str">
        <x:v>Independent reviewer entry required; source pages cover sections, not always exact cell.</x:v>
      </x:c>
    </x:row>
    <x:row r="137">
      <x:c r="A137" t="str">
        <x:v>NA</x:v>
      </x:c>
      <x:c r="B137" t="str">
        <x:v>Adjusted NI25 $M</x:v>
      </x:c>
      <x:c r="C137" t="n">
        <x:v>4314</x:v>
      </x:c>
      <x:c r="D137"/>
      <x:c r="E137" t="str">
        <x:v>SCT 142/PDF154; CD&amp;A 120-121/PDF132-133,136/PDF148; earnings 96/PDF108; vote PDF2</x:v>
      </x:c>
      <x:c r="F137"/>
      <x:c r="G137"/>
      <x:c r="H137" t="str">
        <x:v>Independent reviewer entry required; source pages cover sections, not always exact cell.</x:v>
      </x:c>
    </x:row>
    <x:row r="138">
      <x:c r="A138" t="str">
        <x:v>NA</x:v>
      </x:c>
      <x:c r="B138" t="str">
        <x:v>Reported NI25 $M</x:v>
      </x:c>
      <x:c r="C138" t="n">
        <x:v>3852</x:v>
      </x:c>
      <x:c r="D138"/>
      <x:c r="E138" t="str">
        <x:v>SCT 142/PDF154; CD&amp;A 120-121/PDF132-133,136/PDF148; earnings 96/PDF108; vote PDF2</x:v>
      </x:c>
      <x:c r="F138"/>
      <x:c r="G138"/>
      <x:c r="H138" t="str">
        <x:v>Independent reviewer entry required; source pages cover sections, not always exact cell.</x:v>
      </x:c>
    </x:row>
    <x:row r="139">
      <x:c r="A139" t="str">
        <x:v>NA</x:v>
      </x:c>
      <x:c r="B139" t="str">
        <x:v>Say on Pay %</x:v>
      </x:c>
      <x:c r="C139" t="n">
        <x:v>0.9586</x:v>
      </x:c>
      <x:c r="D139"/>
      <x:c r="E139" t="str">
        <x:v>2026 voting results: SCT 142/PDF154; CD&amp;A 120-121/PDF132-133,136/PDF148; earnings 96/PDF108; vote PDF2</x:v>
      </x:c>
      <x:c r="F139"/>
      <x:c r="G139"/>
      <x:c r="H139" t="str">
        <x:v>Independent reviewer entry required; source pages cover sections, not always exact cell.</x:v>
      </x:c>
    </x:row>
    <x:row r="140">
      <x:c r="A140" t="str">
        <x:v>NA</x:v>
      </x:c>
      <x:c r="B140" t="str">
        <x:v>Special24 $000</x:v>
      </x:c>
      <x:c r="C140" t="n">
        <x:v>0</x:v>
      </x:c>
      <x:c r="D140"/>
      <x:c r="E140" t="str">
        <x:v>SCT 142/PDF154; CD&amp;A 120-121/PDF132-133,136/PDF148; earnings 96/PDF108; vote PDF2</x:v>
      </x:c>
      <x:c r="F140"/>
      <x:c r="G140"/>
      <x:c r="H140" t="str">
        <x:v>Independent reviewer entry required; source pages cover sections, not always exact cell.</x:v>
      </x:c>
    </x:row>
    <x:row r="141">
      <x:c r="A141" t="str">
        <x:v>NA</x:v>
      </x:c>
      <x:c r="B141" t="str">
        <x:v>Special25 $000</x:v>
      </x:c>
      <x:c r="C141" t="n">
        <x:v>0</x:v>
      </x:c>
      <x:c r="D141"/>
      <x:c r="E141" t="str">
        <x:v>SCT 142/PDF154; CD&amp;A 120-121/PDF132-133,136/PDF148; earnings 96/PDF108; vote PDF2</x:v>
      </x:c>
      <x:c r="F141"/>
      <x:c r="G141"/>
      <x:c r="H141" t="str">
        <x:v>Independent reviewer entry required; source pages cover sections, not always exact cell.</x:v>
      </x:c>
    </x:row>
    <x:row r="142">
      <x:c r="A142" t="str">
        <x:v>NA</x:v>
      </x:c>
      <x:c r="B142" t="str">
        <x:v>PSU % of LTI</x:v>
      </x:c>
      <x:c r="C142" t="n">
        <x:v>0.75</x:v>
      </x:c>
      <x:c r="D142"/>
      <x:c r="E142" t="str">
        <x:v>SCT 142/PDF154; CD&amp;A 120-121/PDF132-133,136/PDF148; earnings 96/PDF108; vote PDF2</x:v>
      </x:c>
      <x:c r="F142"/>
      <x:c r="G142"/>
      <x:c r="H142" t="str">
        <x:v>Independent reviewer entry required; source pages cover sections, not always exact cell.</x:v>
      </x:c>
    </x:row>
    <x:row r="143">
      <x:c r="A143" t="str">
        <x:v>NA</x:v>
      </x:c>
      <x:c r="B143" t="str">
        <x:v>Options % of LTI</x:v>
      </x:c>
      <x:c r="C143" t="n">
        <x:v>0.25</x:v>
      </x:c>
      <x:c r="D143"/>
      <x:c r="E143" t="str">
        <x:v>SCT 142/PDF154; CD&amp;A 120-121/PDF132-133,136/PDF148; earnings 96/PDF108; vote PDF2</x:v>
      </x:c>
      <x:c r="F143"/>
      <x:c r="G143"/>
      <x:c r="H143" t="str">
        <x:v>Independent reviewer entry required; source pages cover sections, not always exact cell.</x:v>
      </x:c>
    </x:row>
    <x:row r="144">
      <x:c r="A144" t="str">
        <x:v>NA</x:v>
      </x:c>
      <x:c r="B144" t="str">
        <x:v>RSU % of LTI</x:v>
      </x:c>
      <x:c r="C144" t="n">
        <x:v>0</x:v>
      </x:c>
      <x:c r="D144"/>
      <x:c r="E144" t="str">
        <x:v>SCT 142/PDF154; CD&amp;A 120-121/PDF132-133,136/PDF148; earnings 96/PDF108; vote PDF2</x:v>
      </x:c>
      <x:c r="F144"/>
      <x:c r="G144"/>
      <x:c r="H144" t="str">
        <x:v>Independent reviewer entry required; source pages cover sections, not always exact cell.</x:v>
      </x:c>
    </x:row>
    <x:row r="145">
      <x:c r="A145" t="str">
        <x:v>NA</x:v>
      </x:c>
      <x:c r="B145" t="str">
        <x:v>PSU payout min %</x:v>
      </x:c>
      <x:c r="C145" t="n">
        <x:v>0</x:v>
      </x:c>
      <x:c r="D145"/>
      <x:c r="E145" t="str">
        <x:v>SCT 142/PDF154; CD&amp;A 120-121/PDF132-133,136/PDF148; earnings 96/PDF108; vote PDF2</x:v>
      </x:c>
      <x:c r="F145"/>
      <x:c r="G145"/>
      <x:c r="H145" t="str">
        <x:v>Independent reviewer entry required; source pages cover sections, not always exact cell.</x:v>
      </x:c>
    </x:row>
    <x:row r="146">
      <x:c r="A146" t="str">
        <x:v>NA</x:v>
      </x:c>
      <x:c r="B146" t="str">
        <x:v>PSU payout max %</x:v>
      </x:c>
      <x:c r="C146" t="n">
        <x:v>2</x:v>
      </x:c>
      <x:c r="D146"/>
      <x:c r="E146" t="str">
        <x:v>SCT 142/PDF154; CD&amp;A 120-121/PDF132-133,136/PDF148; earnings 96/PDF108; vote PDF2</x:v>
      </x:c>
      <x:c r="F146"/>
      <x:c r="G146"/>
      <x:c r="H146" t="str">
        <x:v>Independent reviewer entry required; source pages cover sections, not always exact cell.</x:v>
      </x:c>
    </x:row>
    <x:row r="147">
      <x:c r="A147" t="str">
        <x:v>CM</x:v>
      </x:c>
      <x:c r="B147" t="str">
        <x:v>Months CEO FY25</x:v>
      </x:c>
      <x:c r="C147" t="n">
        <x:v>12</x:v>
      </x:c>
      <x:c r="D147"/>
      <x:c r="E147" t="str">
        <x:v>SCT 86/PDF90; CD&amp;A 69/PDF73, 71-74/PDF75-78,78/PDF82; earnings 99/PDF103; vote PDF1</x:v>
      </x:c>
      <x:c r="F147"/>
      <x:c r="G147"/>
      <x:c r="H147" t="str">
        <x:v>Independent reviewer entry required; source pages cover sections, not always exact cell.</x:v>
      </x:c>
    </x:row>
    <x:row r="148">
      <x:c r="A148" t="str">
        <x:v>CM</x:v>
      </x:c>
      <x:c r="B148" t="str">
        <x:v>Salary25 $000</x:v>
      </x:c>
      <x:c r="C148" t="n">
        <x:v>1000</x:v>
      </x:c>
      <x:c r="D148"/>
      <x:c r="E148" t="str">
        <x:v>SCT 86/PDF90; CD&amp;A 69/PDF73, 71-74/PDF75-78,78/PDF82; earnings 99/PDF103; vote PDF1</x:v>
      </x:c>
      <x:c r="F148"/>
      <x:c r="G148"/>
      <x:c r="H148" t="str">
        <x:v>Independent reviewer entry required; source pages cover sections, not always exact cell.</x:v>
      </x:c>
    </x:row>
    <x:row r="149">
      <x:c r="A149" t="str">
        <x:v>CM</x:v>
      </x:c>
      <x:c r="B149" t="str">
        <x:v>Shares25 $000</x:v>
      </x:c>
      <x:c r="C149" t="n">
        <x:v>9980</x:v>
      </x:c>
      <x:c r="D149"/>
      <x:c r="E149" t="str">
        <x:v>SCT 86/PDF90; CD&amp;A 69/PDF73, 71-74/PDF75-78,78/PDF82; earnings 99/PDF103; vote PDF1</x:v>
      </x:c>
      <x:c r="F149"/>
      <x:c r="G149"/>
      <x:c r="H149" t="str">
        <x:v>Independent reviewer entry required; source pages cover sections, not always exact cell.</x:v>
      </x:c>
    </x:row>
    <x:row r="150">
      <x:c r="A150" t="str">
        <x:v>CM</x:v>
      </x:c>
      <x:c r="B150" t="str">
        <x:v>Options25 $000</x:v>
      </x:c>
      <x:c r="C150" t="n">
        <x:v>2495</x:v>
      </x:c>
      <x:c r="D150"/>
      <x:c r="E150" t="str">
        <x:v>SCT 86/PDF90; CD&amp;A 69/PDF73, 71-74/PDF75-78,78/PDF82; earnings 99/PDF103; vote PDF1</x:v>
      </x:c>
      <x:c r="F150"/>
      <x:c r="G150"/>
      <x:c r="H150" t="str">
        <x:v>Independent reviewer entry required; source pages cover sections, not always exact cell.</x:v>
      </x:c>
    </x:row>
    <x:row r="151">
      <x:c r="A151" t="str">
        <x:v>CM</x:v>
      </x:c>
      <x:c r="B151" t="str">
        <x:v>STI25 $000</x:v>
      </x:c>
      <x:c r="C151" t="n">
        <x:v>3119</x:v>
      </x:c>
      <x:c r="D151"/>
      <x:c r="E151" t="str">
        <x:v>SCT 86/PDF90; CD&amp;A 69/PDF73, 71-74/PDF75-78,78/PDF82; earnings 99/PDF103; vote PDF1</x:v>
      </x:c>
      <x:c r="F151"/>
      <x:c r="G151"/>
      <x:c r="H151" t="str">
        <x:v>Independent reviewer entry required; source pages cover sections, not always exact cell.</x:v>
      </x:c>
    </x:row>
    <x:row r="152">
      <x:c r="A152" t="str">
        <x:v>CM</x:v>
      </x:c>
      <x:c r="B152" t="str">
        <x:v>Pension25 $000</x:v>
      </x:c>
      <x:c r="C152" t="n">
        <x:v>582</x:v>
      </x:c>
      <x:c r="D152"/>
      <x:c r="E152" t="str">
        <x:v>SCT 86/PDF90; CD&amp;A 69/PDF73, 71-74/PDF75-78,78/PDF82; earnings 99/PDF103; vote PDF1</x:v>
      </x:c>
      <x:c r="F152"/>
      <x:c r="G152"/>
      <x:c r="H152" t="str">
        <x:v>Independent reviewer entry required; source pages cover sections, not always exact cell.</x:v>
      </x:c>
    </x:row>
    <x:row r="153">
      <x:c r="A153" t="str">
        <x:v>CM</x:v>
      </x:c>
      <x:c r="B153" t="str">
        <x:v>Other25 $000</x:v>
      </x:c>
      <x:c r="C153" t="n">
        <x:v>2</x:v>
      </x:c>
      <x:c r="D153"/>
      <x:c r="E153" t="str">
        <x:v>SCT 86/PDF90; CD&amp;A 69/PDF73, 71-74/PDF75-78,78/PDF82; earnings 99/PDF103; vote PDF1</x:v>
      </x:c>
      <x:c r="F153"/>
      <x:c r="G153"/>
      <x:c r="H153" t="str">
        <x:v>Independent reviewer entry required; source pages cover sections, not always exact cell.</x:v>
      </x:c>
    </x:row>
    <x:row r="154">
      <x:c r="A154" t="str">
        <x:v>CM</x:v>
      </x:c>
      <x:c r="B154" t="str">
        <x:v>SCT25 $000</x:v>
      </x:c>
      <x:c r="C154" t="n">
        <x:v>17178</x:v>
      </x:c>
      <x:c r="D154"/>
      <x:c r="E154" t="str">
        <x:v>SCT 86/PDF90; CD&amp;A 69/PDF73, 71-74/PDF75-78,78/PDF82; earnings 99/PDF103; vote PDF1</x:v>
      </x:c>
      <x:c r="F154"/>
      <x:c r="G154"/>
      <x:c r="H154" t="str">
        <x:v>Independent reviewer entry required; source pages cover sections, not always exact cell.</x:v>
      </x:c>
    </x:row>
    <x:row r="155">
      <x:c r="A155" t="str">
        <x:v>CM</x:v>
      </x:c>
      <x:c r="B155" t="str">
        <x:v>Salary24 $000</x:v>
      </x:c>
      <x:c r="C155" t="n">
        <x:v>1000</x:v>
      </x:c>
      <x:c r="D155"/>
      <x:c r="E155" t="str">
        <x:v>SCT 86/PDF90; CD&amp;A 69/PDF73, 71-74/PDF75-78,78/PDF82; earnings 99/PDF103; vote PDF1</x:v>
      </x:c>
      <x:c r="F155"/>
      <x:c r="G155"/>
      <x:c r="H155" t="str">
        <x:v>Independent reviewer entry required; source pages cover sections, not always exact cell.</x:v>
      </x:c>
    </x:row>
    <x:row r="156">
      <x:c r="A156" t="str">
        <x:v>CM</x:v>
      </x:c>
      <x:c r="B156" t="str">
        <x:v>Shares24 $000</x:v>
      </x:c>
      <x:c r="C156" t="n">
        <x:v>7741</x:v>
      </x:c>
      <x:c r="D156"/>
      <x:c r="E156" t="str">
        <x:v>SCT 86/PDF90; CD&amp;A 69/PDF73, 71-74/PDF75-78,78/PDF82; earnings 99/PDF103; vote PDF1</x:v>
      </x:c>
      <x:c r="F156"/>
      <x:c r="G156"/>
      <x:c r="H156" t="str">
        <x:v>Independent reviewer entry required; source pages cover sections, not always exact cell.</x:v>
      </x:c>
    </x:row>
    <x:row r="157">
      <x:c r="A157" t="str">
        <x:v>CM</x:v>
      </x:c>
      <x:c r="B157" t="str">
        <x:v>Options24 $000</x:v>
      </x:c>
      <x:c r="C157" t="n">
        <x:v>1935</x:v>
      </x:c>
      <x:c r="D157"/>
      <x:c r="E157" t="str">
        <x:v>SCT 86/PDF90; CD&amp;A 69/PDF73, 71-74/PDF75-78,78/PDF82; earnings 99/PDF103; vote PDF1</x:v>
      </x:c>
      <x:c r="F157"/>
      <x:c r="G157"/>
      <x:c r="H157" t="str">
        <x:v>Independent reviewer entry required; source pages cover sections, not always exact cell.</x:v>
      </x:c>
    </x:row>
    <x:row r="158">
      <x:c r="A158" t="str">
        <x:v>CM</x:v>
      </x:c>
      <x:c r="B158" t="str">
        <x:v>STI24 $000</x:v>
      </x:c>
      <x:c r="C158" t="n">
        <x:v>2419</x:v>
      </x:c>
      <x:c r="D158"/>
      <x:c r="E158" t="str">
        <x:v>SCT 86/PDF90; CD&amp;A 69/PDF73, 71-74/PDF75-78,78/PDF82; earnings 99/PDF103; vote PDF1</x:v>
      </x:c>
      <x:c r="F158"/>
      <x:c r="G158"/>
      <x:c r="H158" t="str">
        <x:v>Independent reviewer entry required; source pages cover sections, not always exact cell.</x:v>
      </x:c>
    </x:row>
    <x:row r="159">
      <x:c r="A159" t="str">
        <x:v>CM</x:v>
      </x:c>
      <x:c r="B159" t="str">
        <x:v>Pension24 $000</x:v>
      </x:c>
      <x:c r="C159" t="n">
        <x:v>510</x:v>
      </x:c>
      <x:c r="D159"/>
      <x:c r="E159" t="str">
        <x:v>SCT 86/PDF90; CD&amp;A 69/PDF73, 71-74/PDF75-78,78/PDF82; earnings 99/PDF103; vote PDF1</x:v>
      </x:c>
      <x:c r="F159"/>
      <x:c r="G159"/>
      <x:c r="H159" t="str">
        <x:v>Independent reviewer entry required; source pages cover sections, not always exact cell.</x:v>
      </x:c>
    </x:row>
    <x:row r="160">
      <x:c r="A160" t="str">
        <x:v>CM</x:v>
      </x:c>
      <x:c r="B160" t="str">
        <x:v>Other24 $000</x:v>
      </x:c>
      <x:c r="C160" t="n">
        <x:v>2</x:v>
      </x:c>
      <x:c r="D160"/>
      <x:c r="E160" t="str">
        <x:v>SCT 86/PDF90; CD&amp;A 69/PDF73, 71-74/PDF75-78,78/PDF82; earnings 99/PDF103; vote PDF1</x:v>
      </x:c>
      <x:c r="F160"/>
      <x:c r="G160"/>
      <x:c r="H160" t="str">
        <x:v>Independent reviewer entry required; source pages cover sections, not always exact cell.</x:v>
      </x:c>
    </x:row>
    <x:row r="161">
      <x:c r="A161" t="str">
        <x:v>CM</x:v>
      </x:c>
      <x:c r="B161" t="str">
        <x:v>SCT24 $000</x:v>
      </x:c>
      <x:c r="C161" t="n">
        <x:v>13608</x:v>
      </x:c>
      <x:c r="D161"/>
      <x:c r="E161" t="str">
        <x:v>SCT 86/PDF90; CD&amp;A 69/PDF73, 71-74/PDF75-78,78/PDF82; earnings 99/PDF103; vote PDF1</x:v>
      </x:c>
      <x:c r="F161"/>
      <x:c r="G161"/>
      <x:c r="H161" t="str">
        <x:v>Independent reviewer entry required; source pages cover sections, not always exact cell.</x:v>
      </x:c>
    </x:row>
    <x:row r="162">
      <x:c r="A162" t="str">
        <x:v>CM</x:v>
      </x:c>
      <x:c r="B162" t="str">
        <x:v>Target TDC25 $000</x:v>
      </x:c>
      <x:c r="C162" t="n">
        <x:v>13000</x:v>
      </x:c>
      <x:c r="D162"/>
      <x:c r="E162" t="str">
        <x:v>SCT 86/PDF90; CD&amp;A 69/PDF73, 71-74/PDF75-78,78/PDF82; earnings 99/PDF103; vote PDF1</x:v>
      </x:c>
      <x:c r="F162"/>
      <x:c r="G162"/>
      <x:c r="H162" t="str">
        <x:v>Independent reviewer entry required; source pages cover sections, not always exact cell.</x:v>
      </x:c>
    </x:row>
    <x:row r="163">
      <x:c r="A163" t="str">
        <x:v>CM</x:v>
      </x:c>
      <x:c r="B163" t="str">
        <x:v>Actual TDC25 $000 disclosed</x:v>
      </x:c>
      <x:c r="C163" t="n">
        <x:v>16594</x:v>
      </x:c>
      <x:c r="D163"/>
      <x:c r="E163" t="str">
        <x:v>SCT 86/PDF90; CD&amp;A 69/PDF73, 71-74/PDF75-78,78/PDF82; earnings 99/PDF103; vote PDF1</x:v>
      </x:c>
      <x:c r="F163"/>
      <x:c r="G163"/>
      <x:c r="H163" t="str">
        <x:v>Independent reviewer entry required; source pages cover sections, not always exact cell.</x:v>
      </x:c>
    </x:row>
    <x:row r="164">
      <x:c r="A164" t="str">
        <x:v>CM</x:v>
      </x:c>
      <x:c r="B164" t="str">
        <x:v>Final BPF %</x:v>
      </x:c>
      <x:c r="C164" t="n">
        <x:v>1.15</x:v>
      </x:c>
      <x:c r="D164"/>
      <x:c r="E164" t="str">
        <x:v>SCT 86/PDF90; CD&amp;A 69/PDF73, 71-74/PDF75-78,78/PDF82; earnings 99/PDF103; vote PDF1</x:v>
      </x:c>
      <x:c r="F164"/>
      <x:c r="G164"/>
      <x:c r="H164" t="str">
        <x:v>Independent reviewer entry required; source pages cover sections, not always exact cell.</x:v>
      </x:c>
    </x:row>
    <x:row r="165">
      <x:c r="A165" t="str">
        <x:v>CM</x:v>
      </x:c>
      <x:c r="B165" t="str">
        <x:v>Adjusted NI25 $M</x:v>
      </x:c>
      <x:c r="C165" t="n">
        <x:v>8487</x:v>
      </x:c>
      <x:c r="D165"/>
      <x:c r="E165" t="str">
        <x:v>SCT 86/PDF90; CD&amp;A 69/PDF73, 71-74/PDF75-78,78/PDF82; earnings 99/PDF103; vote PDF1</x:v>
      </x:c>
      <x:c r="F165"/>
      <x:c r="G165"/>
      <x:c r="H165" t="str">
        <x:v>Independent reviewer entry required; source pages cover sections, not always exact cell.</x:v>
      </x:c>
    </x:row>
    <x:row r="166">
      <x:c r="A166" t="str">
        <x:v>CM</x:v>
      </x:c>
      <x:c r="B166" t="str">
        <x:v>Reported NI25 $M</x:v>
      </x:c>
      <x:c r="C166" t="n">
        <x:v>8454</x:v>
      </x:c>
      <x:c r="D166"/>
      <x:c r="E166" t="str">
        <x:v>SCT 86/PDF90; CD&amp;A 69/PDF73, 71-74/PDF75-78,78/PDF82; earnings 99/PDF103; vote PDF1</x:v>
      </x:c>
      <x:c r="F166"/>
      <x:c r="G166"/>
      <x:c r="H166" t="str">
        <x:v>Independent reviewer entry required; source pages cover sections, not always exact cell.</x:v>
      </x:c>
    </x:row>
    <x:row r="167">
      <x:c r="A167" t="str">
        <x:v>CM</x:v>
      </x:c>
      <x:c r="B167" t="str">
        <x:v>Say on Pay %</x:v>
      </x:c>
      <x:c r="C167" t="n">
        <x:v>0.9559000000000001</x:v>
      </x:c>
      <x:c r="D167"/>
      <x:c r="E167" t="str">
        <x:v>2026 voting results: SCT 86/PDF90; CD&amp;A 69/PDF73, 71-74/PDF75-78,78/PDF82; earnings 99/PDF103; vote PDF1</x:v>
      </x:c>
      <x:c r="F167"/>
      <x:c r="G167"/>
      <x:c r="H167" t="str">
        <x:v>Independent reviewer entry required; source pages cover sections, not always exact cell.</x:v>
      </x:c>
    </x:row>
    <x:row r="168">
      <x:c r="A168" t="str">
        <x:v>CM</x:v>
      </x:c>
      <x:c r="B168" t="str">
        <x:v>Special24 $000</x:v>
      </x:c>
      <x:c r="C168" t="n">
        <x:v>0</x:v>
      </x:c>
      <x:c r="D168"/>
      <x:c r="E168" t="str">
        <x:v>SCT 86/PDF90; CD&amp;A 69/PDF73, 71-74/PDF75-78,78/PDF82; earnings 99/PDF103; vote PDF1</x:v>
      </x:c>
      <x:c r="F168"/>
      <x:c r="G168"/>
      <x:c r="H168" t="str">
        <x:v>Independent reviewer entry required; source pages cover sections, not always exact cell.</x:v>
      </x:c>
    </x:row>
    <x:row r="169">
      <x:c r="A169" t="str">
        <x:v>CM</x:v>
      </x:c>
      <x:c r="B169" t="str">
        <x:v>Special25 $000</x:v>
      </x:c>
      <x:c r="C169" t="n">
        <x:v>0</x:v>
      </x:c>
      <x:c r="D169"/>
      <x:c r="E169" t="str">
        <x:v>SCT 86/PDF90; CD&amp;A 69/PDF73, 71-74/PDF75-78,78/PDF82; earnings 99/PDF103; vote PDF1</x:v>
      </x:c>
      <x:c r="F169"/>
      <x:c r="G169"/>
      <x:c r="H169" t="str">
        <x:v>Independent reviewer entry required; source pages cover sections, not always exact cell.</x:v>
      </x:c>
    </x:row>
    <x:row r="170">
      <x:c r="A170" t="str">
        <x:v>CM</x:v>
      </x:c>
      <x:c r="B170" t="str">
        <x:v>CEO STI target $000</x:v>
      </x:c>
      <x:c r="C170" t="n">
        <x:v>2400</x:v>
      </x:c>
      <x:c r="D170"/>
      <x:c r="E170" t="str">
        <x:v>SCT 86/PDF90; CD&amp;A 69/PDF73, 71-74/PDF75-78,78/PDF82; earnings 99/PDF103; vote PDF1</x:v>
      </x:c>
      <x:c r="F170"/>
      <x:c r="G170"/>
      <x:c r="H170" t="str">
        <x:v>Independent reviewer entry required; source pages cover sections, not always exact cell.</x:v>
      </x:c>
    </x:row>
    <x:row r="171">
      <x:c r="A171" t="str">
        <x:v>CM</x:v>
      </x:c>
      <x:c r="B171" t="str">
        <x:v>CEO award/target %</x:v>
      </x:c>
      <x:c r="C171" t="n">
        <x:v>1.3</x:v>
      </x:c>
      <x:c r="D171"/>
      <x:c r="E171" t="str">
        <x:v>SCT 86/PDF90; CD&amp;A 69/PDF73, 71-74/PDF75-78,78/PDF82; earnings 99/PDF103; vote PDF1</x:v>
      </x:c>
      <x:c r="F171"/>
      <x:c r="G171"/>
      <x:c r="H171" t="str">
        <x:v>Independent reviewer entry required; source pages cover sections, not always exact cell.</x:v>
      </x:c>
    </x:row>
    <x:row r="172">
      <x:c r="A172" t="str">
        <x:v>CM</x:v>
      </x:c>
      <x:c r="B172" t="str">
        <x:v>PSU % of LTI</x:v>
      </x:c>
      <x:c r="C172" t="n">
        <x:v>0.8</x:v>
      </x:c>
      <x:c r="D172"/>
      <x:c r="E172" t="str">
        <x:v>SCT 86/PDF90; CD&amp;A 69/PDF73, 71-74/PDF75-78,78/PDF82; earnings 99/PDF103; vote PDF1</x:v>
      </x:c>
      <x:c r="F172"/>
      <x:c r="G172"/>
      <x:c r="H172" t="str">
        <x:v>Independent reviewer entry required; source pages cover sections, not always exact cell.</x:v>
      </x:c>
    </x:row>
    <x:row r="173">
      <x:c r="A173" t="str">
        <x:v>CM</x:v>
      </x:c>
      <x:c r="B173" t="str">
        <x:v>Options % of LTI</x:v>
      </x:c>
      <x:c r="C173" t="n">
        <x:v>0.2</x:v>
      </x:c>
      <x:c r="D173"/>
      <x:c r="E173" t="str">
        <x:v>SCT 86/PDF90; CD&amp;A 69/PDF73, 71-74/PDF75-78,78/PDF82; earnings 99/PDF103; vote PDF1</x:v>
      </x:c>
      <x:c r="F173"/>
      <x:c r="G173"/>
      <x:c r="H173" t="str">
        <x:v>Independent reviewer entry required; source pages cover sections, not always exact cell.</x:v>
      </x:c>
    </x:row>
    <x:row r="174">
      <x:c r="A174" t="str">
        <x:v>CM</x:v>
      </x:c>
      <x:c r="B174" t="str">
        <x:v>RSU % of LTI</x:v>
      </x:c>
      <x:c r="C174" t="n">
        <x:v>0</x:v>
      </x:c>
      <x:c r="D174"/>
      <x:c r="E174" t="str">
        <x:v>SCT 86/PDF90; CD&amp;A 69/PDF73, 71-74/PDF75-78,78/PDF82; earnings 99/PDF103; vote PDF1</x:v>
      </x:c>
      <x:c r="F174"/>
      <x:c r="G174"/>
      <x:c r="H174" t="str">
        <x:v>Independent reviewer entry required; source pages cover sections, not always exact cell.</x:v>
      </x:c>
    </x:row>
    <x:row r="175">
      <x:c r="A175" t="str">
        <x:v>CM</x:v>
      </x:c>
      <x:c r="B175" t="str">
        <x:v>PSU payout min %</x:v>
      </x:c>
      <x:c r="C175" t="n">
        <x:v>0.75</x:v>
      </x:c>
      <x:c r="D175"/>
      <x:c r="E175" t="str">
        <x:v>SCT 86/PDF90; CD&amp;A 69/PDF73, 71-74/PDF75-78,78/PDF82; earnings 99/PDF103; vote PDF1</x:v>
      </x:c>
      <x:c r="F175"/>
      <x:c r="G175"/>
      <x:c r="H175" t="str">
        <x:v>Independent reviewer entry required; source pages cover sections, not always exact cell.</x:v>
      </x:c>
    </x:row>
    <x:row r="176">
      <x:c r="A176" t="str">
        <x:v>CM</x:v>
      </x:c>
      <x:c r="B176" t="str">
        <x:v>PSU payout max %</x:v>
      </x:c>
      <x:c r="C176" t="n">
        <x:v>1.25</x:v>
      </x:c>
      <x:c r="D176"/>
      <x:c r="E176" t="str">
        <x:v>SCT 86/PDF90; CD&amp;A 69/PDF73, 71-74/PDF75-78,78/PDF82; earnings 99/PDF103; vote PDF1</x:v>
      </x:c>
      <x:c r="F176"/>
      <x:c r="G176"/>
      <x:c r="H176" t="str">
        <x:v>Independent reviewer entry required; source pages cover sections, not always exact cell.</x:v>
      </x:c>
    </x:row>
  </x:sheetData>
  <x:autoFilter ref="A1:H176"/>
  <x:dataValidations count="1">
    <x:dataValidation type="list" sqref="F2:F176">
      <x:formula1>"Match,AI error,AI omission"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2" customHeight="1">
      <x:c r="A1" s="22" t="str">
        <x:v>Issue / check</x:v>
      </x:c>
      <x:c r="B1" s="22" t="str">
        <x:v>Status</x:v>
      </x:c>
      <x:c r="C1" s="22" t="str">
        <x:v>Action / interpretation</x:v>
      </x:c>
      <x:c r="D1" s="22" t="str">
        <x:v>Source</x:v>
      </x:c>
    </x:row>
    <x:row r="2">
      <x:c r="A2" t="str">
        <x:v>TD BPF bridge</x:v>
      </x:c>
      <x:c r="B2" t="str">
        <x:v>RESOLVED</x:v>
      </x:c>
      <x:c r="C2" t="str">
        <x:v>115.4% initial + 7.1 pp committee strategic initiatives = 122.5% final</x:v>
      </x:c>
      <x:c r="D2" t="str">
        <x:v>TD printed p.84/PDF89; p.99/PDF104</x:v>
      </x:c>
    </x:row>
    <x:row r="3">
      <x:c r="A3" t="str">
        <x:v>RBC BPF</x:v>
      </x:c>
      <x:c r="B3" t="str">
        <x:v>N/A</x:v>
      </x:c>
      <x:c r="C3" t="str">
        <x:v>Discretionary/non-formulaic; CEO award/target 186% not BPF</x:v>
      </x:c>
      <x:c r="D3" t="str">
        <x:v>RY p.79/PDF82</x:v>
      </x:c>
    </x:row>
    <x:row r="4">
      <x:c r="A4" t="str">
        <x:v>BNS 80/20 STI</x:v>
      </x:c>
      <x:c r="B4" t="str">
        <x:v>NOT FOUND</x:v>
      </x:c>
      <x:c r="C4" t="str">
        <x:v>Do not assert weighting; BPF 103%, IPF 140%</x:v>
      </x:c>
      <x:c r="D4" t="str">
        <x:v>BNS p.97/SEC HTML</x:v>
      </x:c>
    </x:row>
    <x:row r="5">
      <x:c r="A5" t="str">
        <x:v>NA earnings denominator</x:v>
      </x:c>
      <x:c r="B5" t="str">
        <x:v>FOOTNOTE</x:v>
      </x:c>
      <x:c r="C5" t="str">
        <x:v>Adjusted ANI attributable to shareholders, not confirmed total consolidated</x:v>
      </x:c>
      <x:c r="D5" t="str">
        <x:v>NA p.96/PDF108</x:v>
      </x:c>
    </x:row>
    <x:row r="6">
      <x:c r="A6" t="str">
        <x:v>TD role transition</x:v>
      </x:c>
      <x:c r="B6" t="str">
        <x:v>FOOTNOTE</x:v>
      </x:c>
      <x:c r="C6" t="str">
        <x:v>9 months CEO; FY24-to-FY25 YoY n.m.</x:v>
      </x:c>
      <x:c r="D6" t="str">
        <x:v>TD p.107/PDF112</x:v>
      </x:c>
    </x:row>
    <x:row r="7">
      <x:c r="A7" t="str">
        <x:v>RY special FY24</x:v>
      </x:c>
      <x:c r="B7" t="str">
        <x:v>ADJUST</x:v>
      </x:c>
      <x:c r="C7" t="str">
        <x:v>Exclude 4,000 from FY24 TDC in adjusted YoY</x:v>
      </x:c>
      <x:c r="D7" t="str">
        <x:v>RY p.87/PDF90</x:v>
      </x:c>
    </x:row>
    <x:row r="8">
      <x:c r="A8" t="str">
        <x:v>BMO FY25 target</x:v>
      </x:c>
      <x:c r="B8" t="str">
        <x:v>FOOTNOTE</x:v>
      </x:c>
      <x:c r="C8" t="str">
        <x:v>13,375 blended target vs 15,000 annualized; increase effective May 1</x:v>
      </x:c>
      <x:c r="D8" t="str">
        <x:v>BMO p.43/PDF48; p.66/PDF70</x:v>
      </x:c>
    </x:row>
    <x:row r="9">
      <x:c r="A9" t="str">
        <x:v>BMO reported NI</x:v>
      </x:c>
      <x:c r="B9" t="str">
        <x:v>DERIVED</x:v>
      </x:c>
      <x:c r="C9" t="str">
        <x:v>8,725 = 9,248 less 523 adjustments</x:v>
      </x:c>
      <x:c r="D9" t="str">
        <x:v>BMO p.61/PDF65</x:v>
      </x:c>
    </x:row>
    <x:row r="10">
      <x:c r="A10" t="str">
        <x:v>SCT reconciliation</x:v>
      </x:c>
      <x:c r="B10" t="str">
        <x:v>FORMULA</x:v>
      </x:c>
      <x:c r="C10" t="str">
        <x:v>3_Calc columns G/J; &lt;=2 $000 rounding tolerance</x:v>
      </x:c>
      <x:c r="D10" t="str">
        <x:v>All six 2026 circulars</x:v>
      </x:c>
    </x:row>
    <x:row r="11">
      <x:c r="A11" t="str">
        <x:v>TD 2025 reported TDC</x:v>
      </x:c>
      <x:c r="B11" t="str">
        <x:v>FOOTNOTE</x:v>
      </x:c>
      <x:c r="C11" t="str">
        <x:v>Actual blended TDC 13,675; annualized target 12,000</x:v>
      </x:c>
      <x:c r="D11" t="str">
        <x:v>TD p.101-102/PDF106-107</x:v>
      </x:c>
    </x:row>
    <x:row r="12">
      <x:c r="A12" t="str">
        <x:v>CM PSU formulaic range</x:v>
      </x:c>
      <x:c r="B12" t="str">
        <x:v>CORRECTED</x:v>
      </x:c>
      <x:c r="C12" t="str">
        <x:v>Formulaic 75%–125%; Board may reduce to zero at discretion</x:v>
      </x:c>
      <x:c r="D12" t="str">
        <x:v>CM circular printed p.69 / PDF p.73</x:v>
      </x:c>
    </x:row>
    <x:row r="13">
      <x:c r="A13" t="str">
        <x:v>BNS PSU payout ceiling</x:v>
      </x:c>
      <x:c r="B13" t="str">
        <x:v>DISCLOSURE LIMIT</x:v>
      </x:c>
      <x:c r="C13" t="str">
        <x:v>Two-stage formula; no single formulaic maximum disclosed. Maximum N/A.</x:v>
      </x:c>
      <x:c r="D13" t="str">
        <x:v>BNS circular printed p.95</x:v>
      </x:c>
    </x:row>
    <x:row r="14">
      <x:c r="A14" t="str">
        <x:v>PSU payout standardization</x:v>
      </x:c>
      <x:c r="B14" t="str">
        <x:v>CONFIRMED</x:v>
      </x:c>
      <x:c r="C14" t="str">
        <x:v>Ranges show formulaic payout only; committee/Board discretion is footnoted separately.</x:v>
      </x:c>
      <x:c r="D14" t="str">
        <x:v>Individual bank CD&amp;A</x:v>
      </x:c>
    </x:row>
    <x:row r="15">
      <x:c r="A15" t="str">
        <x:v>TDC comparison</x:v>
      </x:c>
      <x:c r="B15" t="str">
        <x:v>CHECK</x:v>
      </x:c>
      <x:c r="C15" t="str">
        <x:v>TDC25 = salary + STI + shares + options</x:v>
      </x:c>
      <x:c r="D15" t="str">
        <x:v>All SCT pages</x:v>
      </x:c>
    </x:row>
    <x:row r="16">
      <x:c r="A16" t="str">
        <x:v>Data quality</x:v>
      </x:c>
      <x:c r="B16" t="str">
        <x:v>CAUTION</x:v>
      </x:c>
      <x:c r="C16" t="str">
        <x:v>Rounded SCT components may not match exact unrounded SCT totals</x:v>
      </x:c>
      <x:c r="D16" t="str">
        <x:v>All SCT pages</x:v>
      </x:c>
    </x:row>
  </x:sheetData>
  <x:autoFilter ref="A1:D16"/>
  <x:pageMargins left="0.7" right="0.7" top="0.75" bottom="0.75" header="0.3" footer="0.3"/>
</x:worksheet>
</file>